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jeremie.veuthey\Downloads\"/>
    </mc:Choice>
  </mc:AlternateContent>
  <xr:revisionPtr revIDLastSave="0" documentId="13_ncr:1_{218D4F8B-ADD3-4437-B71F-9BB00CD8C2FA}" xr6:coauthVersionLast="47" xr6:coauthVersionMax="47" xr10:uidLastSave="{00000000-0000-0000-0000-000000000000}"/>
  <bookViews>
    <workbookView xWindow="44690" yWindow="-9830" windowWidth="25820" windowHeight="13900" activeTab="1" xr2:uid="{00000000-000D-0000-FFFF-FFFF00000000}"/>
  </bookViews>
  <sheets>
    <sheet name="RawData" sheetId="6" r:id="rId1"/>
    <sheet name="Data Results DH" sheetId="5" r:id="rId2"/>
  </sheets>
  <definedNames>
    <definedName name="_xlnm._FilterDatabase" localSheetId="0" hidden="1">RawData!$A$1:$Y$6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5" l="1"/>
  <c r="I62" i="5"/>
  <c r="I63" i="5"/>
  <c r="I64" i="5"/>
  <c r="I65" i="5"/>
  <c r="I66" i="5"/>
  <c r="I67" i="5"/>
  <c r="I68" i="5"/>
  <c r="I69" i="5"/>
  <c r="I70" i="5"/>
  <c r="I71" i="5"/>
  <c r="I72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54" i="5"/>
  <c r="I58" i="5"/>
  <c r="J72" i="5"/>
  <c r="H72" i="5"/>
  <c r="G72" i="5"/>
  <c r="F72" i="5"/>
  <c r="D72" i="5"/>
  <c r="J71" i="5"/>
  <c r="H71" i="5"/>
  <c r="G71" i="5"/>
  <c r="F71" i="5"/>
  <c r="D71" i="5"/>
  <c r="J70" i="5"/>
  <c r="H70" i="5"/>
  <c r="G70" i="5"/>
  <c r="F70" i="5"/>
  <c r="D70" i="5"/>
  <c r="J69" i="5"/>
  <c r="H69" i="5"/>
  <c r="G69" i="5"/>
  <c r="F69" i="5"/>
  <c r="D69" i="5"/>
  <c r="J68" i="5"/>
  <c r="H68" i="5"/>
  <c r="G68" i="5"/>
  <c r="F68" i="5"/>
  <c r="D68" i="5"/>
  <c r="J67" i="5"/>
  <c r="H67" i="5"/>
  <c r="G67" i="5"/>
  <c r="F67" i="5"/>
  <c r="D67" i="5"/>
  <c r="J66" i="5"/>
  <c r="H66" i="5"/>
  <c r="G66" i="5"/>
  <c r="F66" i="5"/>
  <c r="D66" i="5"/>
  <c r="J65" i="5"/>
  <c r="H65" i="5"/>
  <c r="G65" i="5"/>
  <c r="F65" i="5"/>
  <c r="D65" i="5"/>
  <c r="J64" i="5"/>
  <c r="H64" i="5"/>
  <c r="G64" i="5"/>
  <c r="F64" i="5"/>
  <c r="D64" i="5"/>
  <c r="J63" i="5"/>
  <c r="H63" i="5"/>
  <c r="G63" i="5"/>
  <c r="F63" i="5"/>
  <c r="D63" i="5"/>
  <c r="J62" i="5"/>
  <c r="H62" i="5"/>
  <c r="G62" i="5"/>
  <c r="F62" i="5"/>
  <c r="D62" i="5"/>
  <c r="J61" i="5"/>
  <c r="H61" i="5"/>
  <c r="G61" i="5"/>
  <c r="F61" i="5"/>
  <c r="D61" i="5"/>
  <c r="J60" i="5"/>
  <c r="I60" i="5"/>
  <c r="H60" i="5"/>
  <c r="G60" i="5"/>
  <c r="F60" i="5"/>
  <c r="D60" i="5"/>
  <c r="J59" i="5"/>
  <c r="I59" i="5"/>
  <c r="H59" i="5"/>
  <c r="G59" i="5"/>
  <c r="F59" i="5"/>
  <c r="D59" i="5"/>
  <c r="J58" i="5"/>
  <c r="H58" i="5"/>
  <c r="G58" i="5"/>
  <c r="F58" i="5"/>
  <c r="D58" i="5"/>
  <c r="I55" i="5"/>
  <c r="D55" i="5"/>
  <c r="F55" i="5"/>
  <c r="G55" i="5"/>
  <c r="H55" i="5"/>
  <c r="J55" i="5"/>
  <c r="D56" i="5"/>
  <c r="F56" i="5"/>
  <c r="G56" i="5"/>
  <c r="H56" i="5"/>
  <c r="I56" i="5"/>
  <c r="J56" i="5"/>
  <c r="D57" i="5"/>
  <c r="F57" i="5"/>
  <c r="G57" i="5"/>
  <c r="H57" i="5"/>
  <c r="I57" i="5"/>
  <c r="J57" i="5"/>
  <c r="J54" i="5"/>
  <c r="I54" i="5"/>
  <c r="H54" i="5"/>
  <c r="G54" i="5"/>
  <c r="F54" i="5"/>
  <c r="D54" i="5"/>
</calcChain>
</file>

<file path=xl/sharedStrings.xml><?xml version="1.0" encoding="utf-8"?>
<sst xmlns="http://schemas.openxmlformats.org/spreadsheetml/2006/main" count="419" uniqueCount="68">
  <si>
    <t>Description</t>
  </si>
  <si>
    <t>FuE 1069</t>
  </si>
  <si>
    <t>FuE 1071</t>
  </si>
  <si>
    <t>FuE 943</t>
  </si>
  <si>
    <t>FuE 944</t>
  </si>
  <si>
    <t>FuE 945</t>
  </si>
  <si>
    <t>N/A</t>
  </si>
  <si>
    <t>FuE 977</t>
  </si>
  <si>
    <t>FuE 978</t>
  </si>
  <si>
    <t>FuE 979</t>
  </si>
  <si>
    <t>FuE 1109</t>
  </si>
  <si>
    <t>FuE 1110</t>
  </si>
  <si>
    <t>FuE 1111</t>
  </si>
  <si>
    <t>FuE 1112</t>
  </si>
  <si>
    <t>FuE 1154</t>
  </si>
  <si>
    <t>FuE 1114</t>
  </si>
  <si>
    <t>FuE 1116</t>
  </si>
  <si>
    <t>FuE 1118</t>
  </si>
  <si>
    <t xml:space="preserve">Initial Measurement </t>
  </si>
  <si>
    <t>Initial Visual Inspection Evaluation</t>
  </si>
  <si>
    <t xml:space="preserve">Electroluminescence images evaluation (Initial) </t>
  </si>
  <si>
    <t>Wet Leakage Current Test (Initial)</t>
  </si>
  <si>
    <t>Chamber Name</t>
  </si>
  <si>
    <t>Flash Test Date</t>
  </si>
  <si>
    <t>Serial number</t>
  </si>
  <si>
    <t>Pmax
(W)</t>
  </si>
  <si>
    <t xml:space="preserve">Vmpp (V) </t>
  </si>
  <si>
    <t xml:space="preserve">Impp (A) </t>
  </si>
  <si>
    <t>Voc (V)</t>
  </si>
  <si>
    <t>Isc</t>
  </si>
  <si>
    <t xml:space="preserve">FF (%) </t>
  </si>
  <si>
    <t>Comments</t>
  </si>
  <si>
    <t>Number of Cell Cracks</t>
  </si>
  <si>
    <t>Additional Attributes</t>
  </si>
  <si>
    <t>Result Initial WL in Gohm</t>
  </si>
  <si>
    <t>13.08.2025</t>
  </si>
  <si>
    <t xml:space="preserve">Wet Leakage Current Test </t>
  </si>
  <si>
    <t>1X IEC Degradation Results</t>
  </si>
  <si>
    <t>FF</t>
  </si>
  <si>
    <t>Passed</t>
  </si>
  <si>
    <t>Date</t>
  </si>
  <si>
    <t>Time</t>
  </si>
  <si>
    <t>InstanceName</t>
  </si>
  <si>
    <t>User</t>
  </si>
  <si>
    <t>MeasStat</t>
  </si>
  <si>
    <t>MachStat</t>
  </si>
  <si>
    <t>Snr</t>
  </si>
  <si>
    <t>Voc</t>
  </si>
  <si>
    <t>Pmax</t>
  </si>
  <si>
    <t>Vpmax</t>
  </si>
  <si>
    <t>Ipmax</t>
  </si>
  <si>
    <t>Rs</t>
  </si>
  <si>
    <t>Rsh</t>
  </si>
  <si>
    <t>Eff</t>
  </si>
  <si>
    <t>Tdut</t>
  </si>
  <si>
    <t>Gavg</t>
  </si>
  <si>
    <t>LTI</t>
  </si>
  <si>
    <t>Class</t>
  </si>
  <si>
    <t>ClassBin</t>
  </si>
  <si>
    <t>Fcp</t>
  </si>
  <si>
    <t>FcsCC</t>
  </si>
  <si>
    <t>FcsMC</t>
  </si>
  <si>
    <t>Fcv</t>
  </si>
  <si>
    <t>TeraSlate L</t>
  </si>
  <si>
    <t>eng - ENGINEER</t>
  </si>
  <si>
    <t>Ok</t>
  </si>
  <si>
    <t>N/A - C-Ware - 31016375 TeraSlate Black 6DL-225</t>
  </si>
  <si>
    <t>10.10.2025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</si>
</sst>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11"/>
      <color rgb="FF000000"/>
      <name val="Aptos Narrow"/>
      <family val="2"/>
    </font>
    <font>
      <sz val="12"/>
      <color theme="0"/>
      <name val="Arial"/>
      <family val="2"/>
    </font>
    <font>
      <sz val="9"/>
      <color rgb="FF00B050"/>
      <name val="Arial"/>
      <family val="2"/>
    </font>
    <font>
      <sz val="12"/>
      <color rgb="FF000000"/>
      <name val="Arial"/>
      <family val="2"/>
    </font>
    <font>
      <sz val="14"/>
      <color theme="0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0" fontId="6" fillId="3" borderId="2" xfId="0" applyNumberFormat="1" applyFont="1" applyFill="1" applyBorder="1"/>
    <xf numFmtId="0" fontId="7" fillId="0" borderId="6" xfId="0" applyFont="1" applyBorder="1" applyAlignment="1">
      <alignment horizontal="center" vertical="center" wrapText="1"/>
    </xf>
    <xf numFmtId="10" fontId="9" fillId="3" borderId="2" xfId="0" applyNumberFormat="1" applyFont="1" applyFill="1" applyBorder="1"/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1" fillId="0" borderId="20" xfId="0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0" fontId="6" fillId="7" borderId="6" xfId="0" applyNumberFormat="1" applyFont="1" applyFill="1" applyBorder="1" applyAlignment="1">
      <alignment horizontal="right"/>
    </xf>
    <xf numFmtId="14" fontId="0" fillId="0" borderId="0" xfId="0" applyNumberFormat="1"/>
    <xf numFmtId="21" fontId="0" fillId="0" borderId="0" xfId="0" applyNumberFormat="1"/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theme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C58F-6DDC-49FE-A53C-F7F557D083C9}">
  <dimension ref="A1:Y39"/>
  <sheetViews>
    <sheetView workbookViewId="0">
      <selection activeCell="E41" sqref="E41"/>
    </sheetView>
  </sheetViews>
  <sheetFormatPr defaultRowHeight="14.5" x14ac:dyDescent="0.35"/>
  <cols>
    <col min="1" max="1" width="10.08984375" bestFit="1" customWidth="1"/>
    <col min="2" max="2" width="7.90625" bestFit="1" customWidth="1"/>
    <col min="3" max="3" width="14.90625" bestFit="1" customWidth="1"/>
    <col min="4" max="4" width="13.6328125" bestFit="1" customWidth="1"/>
    <col min="5" max="5" width="10.7265625" bestFit="1" customWidth="1"/>
    <col min="6" max="6" width="10.81640625" bestFit="1" customWidth="1"/>
    <col min="7" max="7" width="9.81640625" customWidth="1"/>
    <col min="8" max="8" width="6.81640625" bestFit="1" customWidth="1"/>
    <col min="9" max="9" width="5.90625" bestFit="1" customWidth="1"/>
    <col min="10" max="10" width="7.81640625" bestFit="1" customWidth="1"/>
    <col min="11" max="11" width="8.6328125" bestFit="1" customWidth="1"/>
    <col min="12" max="12" width="7.90625" bestFit="1" customWidth="1"/>
    <col min="13" max="13" width="6.81640625" bestFit="1" customWidth="1"/>
    <col min="14" max="14" width="8.81640625" bestFit="1" customWidth="1"/>
    <col min="15" max="16" width="7.81640625" bestFit="1" customWidth="1"/>
    <col min="17" max="17" width="6.6328125" bestFit="1" customWidth="1"/>
    <col min="18" max="18" width="7.1796875" bestFit="1" customWidth="1"/>
    <col min="19" max="19" width="6.81640625" bestFit="1" customWidth="1"/>
    <col min="20" max="20" width="41.36328125" bestFit="1" customWidth="1"/>
    <col min="21" max="21" width="10.1796875" bestFit="1" customWidth="1"/>
    <col min="22" max="22" width="6.81640625" bestFit="1" customWidth="1"/>
    <col min="23" max="23" width="8.54296875" bestFit="1" customWidth="1"/>
    <col min="25" max="25" width="6.81640625" bestFit="1" customWidth="1"/>
  </cols>
  <sheetData>
    <row r="1" spans="1:25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29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38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</row>
    <row r="2" spans="1:25" x14ac:dyDescent="0.35">
      <c r="A2" s="25">
        <v>45882</v>
      </c>
      <c r="B2" s="26">
        <v>0.6693055555555556</v>
      </c>
      <c r="C2" t="s">
        <v>63</v>
      </c>
      <c r="D2" t="s">
        <v>64</v>
      </c>
      <c r="E2" t="s">
        <v>65</v>
      </c>
      <c r="F2" t="s">
        <v>65</v>
      </c>
      <c r="G2">
        <v>2121590</v>
      </c>
      <c r="H2">
        <v>33.237000000000002</v>
      </c>
      <c r="I2">
        <v>8.0830000000000002</v>
      </c>
      <c r="J2">
        <v>213.221</v>
      </c>
      <c r="K2">
        <v>27.678999999999998</v>
      </c>
      <c r="L2">
        <v>7.7030000000000003</v>
      </c>
      <c r="M2">
        <v>0.40620000000000001</v>
      </c>
      <c r="N2">
        <v>259.08449999999999</v>
      </c>
      <c r="O2">
        <v>79.364000000000004</v>
      </c>
      <c r="P2">
        <v>13.635899999999999</v>
      </c>
      <c r="Q2">
        <v>26.1</v>
      </c>
      <c r="R2">
        <v>1000.9</v>
      </c>
      <c r="S2">
        <v>6.9999999999999999E-4</v>
      </c>
      <c r="T2" t="s">
        <v>66</v>
      </c>
      <c r="U2" t="s">
        <v>6</v>
      </c>
      <c r="V2">
        <v>0.996</v>
      </c>
      <c r="W2">
        <v>0.97260000000000002</v>
      </c>
      <c r="X2">
        <v>0.95579999999999998</v>
      </c>
      <c r="Y2">
        <v>0.99790000000000001</v>
      </c>
    </row>
    <row r="3" spans="1:25" x14ac:dyDescent="0.35">
      <c r="A3" s="25">
        <v>45882</v>
      </c>
      <c r="B3" s="26">
        <v>0.71097222222222201</v>
      </c>
      <c r="C3" t="s">
        <v>63</v>
      </c>
      <c r="D3" t="s">
        <v>64</v>
      </c>
      <c r="E3" t="s">
        <v>65</v>
      </c>
      <c r="F3" t="s">
        <v>65</v>
      </c>
      <c r="G3">
        <v>2121589</v>
      </c>
      <c r="H3">
        <v>33.247</v>
      </c>
      <c r="I3">
        <v>8.0670000000000002</v>
      </c>
      <c r="J3">
        <v>213.21199999999999</v>
      </c>
      <c r="K3">
        <v>27.715</v>
      </c>
      <c r="L3">
        <v>7.6929999999999996</v>
      </c>
      <c r="M3">
        <v>0.40620000000000001</v>
      </c>
      <c r="N3">
        <v>259.08449999999999</v>
      </c>
      <c r="O3">
        <v>79.494299999999996</v>
      </c>
      <c r="P3">
        <v>13.635899999999999</v>
      </c>
      <c r="Q3">
        <v>26.1</v>
      </c>
      <c r="R3">
        <v>1000.9</v>
      </c>
      <c r="S3">
        <v>6.9999999999999999E-4</v>
      </c>
      <c r="T3" t="s">
        <v>66</v>
      </c>
      <c r="U3" t="s">
        <v>6</v>
      </c>
      <c r="V3">
        <v>0.996</v>
      </c>
      <c r="W3">
        <v>0.97260000000000002</v>
      </c>
      <c r="X3">
        <v>0.95579999999999998</v>
      </c>
      <c r="Y3">
        <v>0.99790000000000001</v>
      </c>
    </row>
    <row r="4" spans="1:25" x14ac:dyDescent="0.35">
      <c r="A4" s="25">
        <v>45882</v>
      </c>
      <c r="B4" s="26">
        <v>0.75263888888888897</v>
      </c>
      <c r="C4" t="s">
        <v>63</v>
      </c>
      <c r="D4" t="s">
        <v>64</v>
      </c>
      <c r="E4" t="s">
        <v>65</v>
      </c>
      <c r="F4" t="s">
        <v>65</v>
      </c>
      <c r="G4" t="s">
        <v>1</v>
      </c>
      <c r="H4">
        <v>24.605</v>
      </c>
      <c r="I4">
        <v>5.5819999999999999</v>
      </c>
      <c r="J4">
        <v>110.267</v>
      </c>
      <c r="K4">
        <v>20.853000000000002</v>
      </c>
      <c r="L4">
        <v>5.2880000000000003</v>
      </c>
      <c r="M4">
        <v>0.40620000000000001</v>
      </c>
      <c r="N4">
        <v>259.08449999999999</v>
      </c>
      <c r="O4">
        <v>80.2881</v>
      </c>
      <c r="P4">
        <v>13.635899999999999</v>
      </c>
      <c r="Q4">
        <v>26.1</v>
      </c>
      <c r="R4">
        <v>1000.9</v>
      </c>
      <c r="S4">
        <v>6.9999999999999999E-4</v>
      </c>
      <c r="T4" t="s">
        <v>66</v>
      </c>
      <c r="U4" t="s">
        <v>6</v>
      </c>
      <c r="V4">
        <v>0.996</v>
      </c>
      <c r="W4">
        <v>0.97260000000000002</v>
      </c>
      <c r="X4">
        <v>0.95579999999999998</v>
      </c>
      <c r="Y4">
        <v>0.99790000000000001</v>
      </c>
    </row>
    <row r="5" spans="1:25" x14ac:dyDescent="0.35">
      <c r="A5" s="25">
        <v>45882</v>
      </c>
      <c r="B5" s="26">
        <v>0.79430555555555604</v>
      </c>
      <c r="C5" t="s">
        <v>63</v>
      </c>
      <c r="D5" t="s">
        <v>64</v>
      </c>
      <c r="E5" t="s">
        <v>65</v>
      </c>
      <c r="F5" t="s">
        <v>65</v>
      </c>
      <c r="G5" t="s">
        <v>2</v>
      </c>
      <c r="H5">
        <v>24.673999999999999</v>
      </c>
      <c r="I5">
        <v>5.7990000000000004</v>
      </c>
      <c r="J5">
        <v>115.47199999999999</v>
      </c>
      <c r="K5">
        <v>20.88</v>
      </c>
      <c r="L5">
        <v>5.53</v>
      </c>
      <c r="M5">
        <v>0.40620000000000001</v>
      </c>
      <c r="N5">
        <v>259.08449999999999</v>
      </c>
      <c r="O5">
        <v>80.703999999999994</v>
      </c>
      <c r="P5">
        <v>13.635899999999999</v>
      </c>
      <c r="Q5">
        <v>26.1</v>
      </c>
      <c r="R5">
        <v>1000.9</v>
      </c>
      <c r="S5">
        <v>6.9999999999999999E-4</v>
      </c>
      <c r="T5" t="s">
        <v>66</v>
      </c>
      <c r="U5" t="s">
        <v>6</v>
      </c>
      <c r="V5">
        <v>0.996</v>
      </c>
      <c r="W5">
        <v>0.97260000000000002</v>
      </c>
      <c r="X5">
        <v>0.95579999999999998</v>
      </c>
      <c r="Y5">
        <v>0.99790000000000001</v>
      </c>
    </row>
    <row r="6" spans="1:25" x14ac:dyDescent="0.35">
      <c r="A6" s="25">
        <v>45882</v>
      </c>
      <c r="B6" s="26">
        <v>0.83597222222222201</v>
      </c>
      <c r="C6" t="s">
        <v>63</v>
      </c>
      <c r="D6" t="s">
        <v>64</v>
      </c>
      <c r="E6" t="s">
        <v>65</v>
      </c>
      <c r="F6" t="s">
        <v>65</v>
      </c>
      <c r="G6" t="s">
        <v>3</v>
      </c>
      <c r="H6">
        <v>26.716000000000001</v>
      </c>
      <c r="I6">
        <v>7.05</v>
      </c>
      <c r="J6">
        <v>150.542</v>
      </c>
      <c r="K6">
        <v>22.341000000000001</v>
      </c>
      <c r="L6">
        <v>6.7380000000000004</v>
      </c>
      <c r="M6">
        <v>0.40620000000000001</v>
      </c>
      <c r="N6">
        <v>259.08449999999999</v>
      </c>
      <c r="O6">
        <v>79.926000000000002</v>
      </c>
      <c r="P6">
        <v>13.635899999999999</v>
      </c>
      <c r="Q6">
        <v>26.1</v>
      </c>
      <c r="R6">
        <v>1000.9</v>
      </c>
      <c r="S6">
        <v>6.9999999999999999E-4</v>
      </c>
      <c r="T6" t="s">
        <v>66</v>
      </c>
      <c r="U6" t="s">
        <v>6</v>
      </c>
      <c r="V6">
        <v>0.996</v>
      </c>
      <c r="W6">
        <v>0.97260000000000002</v>
      </c>
      <c r="X6">
        <v>0.95579999999999998</v>
      </c>
      <c r="Y6">
        <v>0.99790000000000001</v>
      </c>
    </row>
    <row r="7" spans="1:25" x14ac:dyDescent="0.35">
      <c r="A7" s="25">
        <v>45882</v>
      </c>
      <c r="B7" s="26">
        <v>0.87763888888888897</v>
      </c>
      <c r="C7" t="s">
        <v>63</v>
      </c>
      <c r="D7" t="s">
        <v>64</v>
      </c>
      <c r="E7" t="s">
        <v>65</v>
      </c>
      <c r="F7" t="s">
        <v>65</v>
      </c>
      <c r="G7" t="s">
        <v>4</v>
      </c>
      <c r="H7">
        <v>26.837</v>
      </c>
      <c r="I7">
        <v>7.0910000000000002</v>
      </c>
      <c r="J7">
        <v>152.483</v>
      </c>
      <c r="K7">
        <v>22.474</v>
      </c>
      <c r="L7">
        <v>6.7850000000000001</v>
      </c>
      <c r="M7">
        <v>0.40620000000000001</v>
      </c>
      <c r="N7">
        <v>259.08449999999999</v>
      </c>
      <c r="O7">
        <v>80.132900000000006</v>
      </c>
      <c r="P7">
        <v>13.635899999999999</v>
      </c>
      <c r="Q7">
        <v>26.1</v>
      </c>
      <c r="R7">
        <v>1000.9</v>
      </c>
      <c r="S7">
        <v>6.9999999999999999E-4</v>
      </c>
      <c r="T7" t="s">
        <v>66</v>
      </c>
      <c r="U7" t="s">
        <v>6</v>
      </c>
      <c r="V7">
        <v>0.996</v>
      </c>
      <c r="W7">
        <v>0.97260000000000002</v>
      </c>
      <c r="X7">
        <v>0.95579999999999998</v>
      </c>
      <c r="Y7">
        <v>0.99790000000000001</v>
      </c>
    </row>
    <row r="8" spans="1:25" x14ac:dyDescent="0.35">
      <c r="A8" s="25">
        <v>45882</v>
      </c>
      <c r="B8" s="26">
        <v>0.91930555555555604</v>
      </c>
      <c r="C8" t="s">
        <v>63</v>
      </c>
      <c r="D8" t="s">
        <v>64</v>
      </c>
      <c r="E8" t="s">
        <v>65</v>
      </c>
      <c r="F8" t="s">
        <v>65</v>
      </c>
      <c r="G8" t="s">
        <v>5</v>
      </c>
      <c r="H8">
        <v>26.829000000000001</v>
      </c>
      <c r="I8">
        <v>7.1260000000000003</v>
      </c>
      <c r="J8">
        <v>153.10900000000001</v>
      </c>
      <c r="K8">
        <v>22.477</v>
      </c>
      <c r="L8">
        <v>6.8120000000000003</v>
      </c>
      <c r="M8">
        <v>0.40620000000000001</v>
      </c>
      <c r="N8">
        <v>259.08449999999999</v>
      </c>
      <c r="O8">
        <v>80.0809</v>
      </c>
      <c r="P8">
        <v>13.635899999999999</v>
      </c>
      <c r="Q8">
        <v>26.1</v>
      </c>
      <c r="R8">
        <v>1000.9</v>
      </c>
      <c r="S8">
        <v>6.9999999999999999E-4</v>
      </c>
      <c r="T8" t="s">
        <v>66</v>
      </c>
      <c r="U8" t="s">
        <v>6</v>
      </c>
      <c r="V8">
        <v>0.996</v>
      </c>
      <c r="W8">
        <v>0.97260000000000002</v>
      </c>
      <c r="X8">
        <v>0.95579999999999998</v>
      </c>
      <c r="Y8">
        <v>0.99790000000000001</v>
      </c>
    </row>
    <row r="9" spans="1:25" x14ac:dyDescent="0.35">
      <c r="A9" s="25">
        <v>45882</v>
      </c>
      <c r="B9" s="26">
        <v>0.96097222222222201</v>
      </c>
      <c r="C9" t="s">
        <v>63</v>
      </c>
      <c r="D9" t="s">
        <v>64</v>
      </c>
      <c r="E9" t="s">
        <v>65</v>
      </c>
      <c r="F9" t="s">
        <v>65</v>
      </c>
      <c r="G9" t="s">
        <v>7</v>
      </c>
      <c r="H9">
        <v>26.46</v>
      </c>
      <c r="I9">
        <v>6.673</v>
      </c>
      <c r="J9">
        <v>143.84</v>
      </c>
      <c r="K9">
        <v>22.338000000000001</v>
      </c>
      <c r="L9">
        <v>6.4390000000000001</v>
      </c>
      <c r="M9">
        <v>0.40620000000000001</v>
      </c>
      <c r="N9">
        <v>259.08449999999999</v>
      </c>
      <c r="O9">
        <v>81.466399999999993</v>
      </c>
      <c r="P9">
        <v>13.635899999999999</v>
      </c>
      <c r="Q9">
        <v>26.1</v>
      </c>
      <c r="R9">
        <v>1000.9</v>
      </c>
      <c r="S9">
        <v>6.9999999999999999E-4</v>
      </c>
      <c r="T9" t="s">
        <v>66</v>
      </c>
      <c r="U9" t="s">
        <v>6</v>
      </c>
      <c r="V9">
        <v>0.996</v>
      </c>
      <c r="W9">
        <v>0.97260000000000002</v>
      </c>
      <c r="X9">
        <v>0.95579999999999998</v>
      </c>
      <c r="Y9">
        <v>0.99790000000000001</v>
      </c>
    </row>
    <row r="10" spans="1:25" x14ac:dyDescent="0.35">
      <c r="A10" s="25">
        <v>45882</v>
      </c>
      <c r="B10" s="26">
        <v>1.00263888888889</v>
      </c>
      <c r="C10" t="s">
        <v>63</v>
      </c>
      <c r="D10" t="s">
        <v>64</v>
      </c>
      <c r="E10" t="s">
        <v>65</v>
      </c>
      <c r="F10" t="s">
        <v>65</v>
      </c>
      <c r="G10" t="s">
        <v>8</v>
      </c>
      <c r="H10">
        <v>26.533999999999999</v>
      </c>
      <c r="I10">
        <v>6.79</v>
      </c>
      <c r="J10">
        <v>145.18700000000001</v>
      </c>
      <c r="K10">
        <v>22.28</v>
      </c>
      <c r="L10">
        <v>6.516</v>
      </c>
      <c r="M10">
        <v>0.40620000000000001</v>
      </c>
      <c r="N10">
        <v>259.08449999999999</v>
      </c>
      <c r="O10">
        <v>80.582700000000003</v>
      </c>
      <c r="P10">
        <v>13.635899999999999</v>
      </c>
      <c r="Q10">
        <v>26.1</v>
      </c>
      <c r="R10">
        <v>1000.9</v>
      </c>
      <c r="S10">
        <v>6.9999999999999999E-4</v>
      </c>
      <c r="T10" t="s">
        <v>66</v>
      </c>
      <c r="U10" t="s">
        <v>6</v>
      </c>
      <c r="V10">
        <v>0.996</v>
      </c>
      <c r="W10">
        <v>0.97260000000000002</v>
      </c>
      <c r="X10">
        <v>0.95579999999999998</v>
      </c>
      <c r="Y10">
        <v>0.99790000000000001</v>
      </c>
    </row>
    <row r="11" spans="1:25" x14ac:dyDescent="0.35">
      <c r="A11" s="25">
        <v>45882</v>
      </c>
      <c r="B11" s="26">
        <v>1.04430555555556</v>
      </c>
      <c r="C11" t="s">
        <v>63</v>
      </c>
      <c r="D11" t="s">
        <v>64</v>
      </c>
      <c r="E11" t="s">
        <v>65</v>
      </c>
      <c r="F11" t="s">
        <v>65</v>
      </c>
      <c r="G11" t="s">
        <v>9</v>
      </c>
      <c r="H11">
        <v>26.611000000000001</v>
      </c>
      <c r="I11">
        <v>7.157</v>
      </c>
      <c r="J11">
        <v>154.203</v>
      </c>
      <c r="K11">
        <v>22.355</v>
      </c>
      <c r="L11">
        <v>6.8979999999999997</v>
      </c>
      <c r="M11">
        <v>0.40620000000000001</v>
      </c>
      <c r="N11">
        <v>259.08449999999999</v>
      </c>
      <c r="O11">
        <v>80.959199999999996</v>
      </c>
      <c r="P11">
        <v>13.635899999999999</v>
      </c>
      <c r="Q11">
        <v>26.1</v>
      </c>
      <c r="R11">
        <v>1000.9</v>
      </c>
      <c r="S11">
        <v>6.9999999999999999E-4</v>
      </c>
      <c r="T11" t="s">
        <v>66</v>
      </c>
      <c r="U11" t="s">
        <v>6</v>
      </c>
      <c r="V11">
        <v>0.996</v>
      </c>
      <c r="W11">
        <v>0.97260000000000002</v>
      </c>
      <c r="X11">
        <v>0.95579999999999998</v>
      </c>
      <c r="Y11">
        <v>0.99790000000000001</v>
      </c>
    </row>
    <row r="12" spans="1:25" x14ac:dyDescent="0.35">
      <c r="A12" s="25">
        <v>45882</v>
      </c>
      <c r="B12" s="26">
        <v>1.0859722222222199</v>
      </c>
      <c r="C12" t="s">
        <v>63</v>
      </c>
      <c r="D12" t="s">
        <v>64</v>
      </c>
      <c r="E12" t="s">
        <v>65</v>
      </c>
      <c r="F12" t="s">
        <v>65</v>
      </c>
      <c r="G12" t="s">
        <v>10</v>
      </c>
      <c r="H12">
        <v>32.981000000000002</v>
      </c>
      <c r="I12">
        <v>6.1989999999999998</v>
      </c>
      <c r="J12">
        <v>164.09299999999999</v>
      </c>
      <c r="K12">
        <v>27.577000000000002</v>
      </c>
      <c r="L12">
        <v>5.95</v>
      </c>
      <c r="M12">
        <v>0.40620000000000001</v>
      </c>
      <c r="N12">
        <v>259.08449999999999</v>
      </c>
      <c r="O12">
        <v>80.255099999999999</v>
      </c>
      <c r="P12">
        <v>13.635899999999999</v>
      </c>
      <c r="Q12">
        <v>26.1</v>
      </c>
      <c r="R12">
        <v>1000.9</v>
      </c>
      <c r="S12">
        <v>6.9999999999999999E-4</v>
      </c>
      <c r="T12" t="s">
        <v>66</v>
      </c>
      <c r="U12" t="s">
        <v>6</v>
      </c>
      <c r="V12">
        <v>0.996</v>
      </c>
      <c r="W12">
        <v>0.97260000000000002</v>
      </c>
      <c r="X12">
        <v>0.95579999999999998</v>
      </c>
      <c r="Y12">
        <v>0.99790000000000001</v>
      </c>
    </row>
    <row r="13" spans="1:25" x14ac:dyDescent="0.35">
      <c r="A13" s="25">
        <v>45882</v>
      </c>
      <c r="B13" s="26">
        <v>1.12763888888889</v>
      </c>
      <c r="C13" t="s">
        <v>63</v>
      </c>
      <c r="D13" t="s">
        <v>64</v>
      </c>
      <c r="E13" t="s">
        <v>65</v>
      </c>
      <c r="F13" t="s">
        <v>65</v>
      </c>
      <c r="G13" t="s">
        <v>11</v>
      </c>
      <c r="H13">
        <v>32.972999999999999</v>
      </c>
      <c r="I13">
        <v>6.218</v>
      </c>
      <c r="J13">
        <v>164.41499999999999</v>
      </c>
      <c r="K13">
        <v>27.588000000000001</v>
      </c>
      <c r="L13">
        <v>5.96</v>
      </c>
      <c r="M13">
        <v>0.40620000000000001</v>
      </c>
      <c r="N13">
        <v>259.08449999999999</v>
      </c>
      <c r="O13">
        <v>80.188100000000006</v>
      </c>
      <c r="P13">
        <v>13.635899999999999</v>
      </c>
      <c r="Q13">
        <v>26.1</v>
      </c>
      <c r="R13">
        <v>1000.9</v>
      </c>
      <c r="S13">
        <v>6.9999999999999999E-4</v>
      </c>
      <c r="T13" t="s">
        <v>66</v>
      </c>
      <c r="U13" t="s">
        <v>6</v>
      </c>
      <c r="V13">
        <v>0.996</v>
      </c>
      <c r="W13">
        <v>0.97260000000000002</v>
      </c>
      <c r="X13">
        <v>0.95579999999999998</v>
      </c>
      <c r="Y13">
        <v>0.99790000000000001</v>
      </c>
    </row>
    <row r="14" spans="1:25" x14ac:dyDescent="0.35">
      <c r="A14" s="25">
        <v>45882</v>
      </c>
      <c r="B14" s="26">
        <v>1.16930555555556</v>
      </c>
      <c r="C14" t="s">
        <v>63</v>
      </c>
      <c r="D14" t="s">
        <v>64</v>
      </c>
      <c r="E14" t="s">
        <v>65</v>
      </c>
      <c r="F14" t="s">
        <v>65</v>
      </c>
      <c r="G14" t="s">
        <v>12</v>
      </c>
      <c r="H14">
        <v>33.055</v>
      </c>
      <c r="I14">
        <v>6.4459999999999997</v>
      </c>
      <c r="J14">
        <v>170.26300000000001</v>
      </c>
      <c r="K14">
        <v>27.602</v>
      </c>
      <c r="L14">
        <v>6.1689999999999996</v>
      </c>
      <c r="M14">
        <v>0.40620000000000001</v>
      </c>
      <c r="N14">
        <v>259.08449999999999</v>
      </c>
      <c r="O14">
        <v>79.903199999999998</v>
      </c>
      <c r="P14">
        <v>13.635899999999999</v>
      </c>
      <c r="Q14">
        <v>26.1</v>
      </c>
      <c r="R14">
        <v>1000.9</v>
      </c>
      <c r="S14">
        <v>6.9999999999999999E-4</v>
      </c>
      <c r="T14" t="s">
        <v>66</v>
      </c>
      <c r="U14" t="s">
        <v>6</v>
      </c>
      <c r="V14">
        <v>0.996</v>
      </c>
      <c r="W14">
        <v>0.97260000000000002</v>
      </c>
      <c r="X14">
        <v>0.95579999999999998</v>
      </c>
      <c r="Y14">
        <v>0.99790000000000001</v>
      </c>
    </row>
    <row r="15" spans="1:25" x14ac:dyDescent="0.35">
      <c r="A15" s="25">
        <v>45882</v>
      </c>
      <c r="B15" s="26">
        <v>1.2109722222222199</v>
      </c>
      <c r="C15" t="s">
        <v>63</v>
      </c>
      <c r="D15" t="s">
        <v>64</v>
      </c>
      <c r="E15" t="s">
        <v>65</v>
      </c>
      <c r="F15" t="s">
        <v>65</v>
      </c>
      <c r="G15" t="s">
        <v>13</v>
      </c>
      <c r="H15">
        <v>33.061</v>
      </c>
      <c r="I15">
        <v>6.4550000000000001</v>
      </c>
      <c r="J15">
        <v>170.48</v>
      </c>
      <c r="K15">
        <v>27.611999999999998</v>
      </c>
      <c r="L15">
        <v>6.1740000000000004</v>
      </c>
      <c r="M15">
        <v>0.40620000000000001</v>
      </c>
      <c r="N15">
        <v>259.08449999999999</v>
      </c>
      <c r="O15">
        <v>79.882599999999996</v>
      </c>
      <c r="P15">
        <v>13.635899999999999</v>
      </c>
      <c r="Q15">
        <v>26.1</v>
      </c>
      <c r="R15">
        <v>1000.9</v>
      </c>
      <c r="S15">
        <v>6.9999999999999999E-4</v>
      </c>
      <c r="T15" t="s">
        <v>66</v>
      </c>
      <c r="U15" t="s">
        <v>6</v>
      </c>
      <c r="V15">
        <v>0.996</v>
      </c>
      <c r="W15">
        <v>0.97260000000000002</v>
      </c>
      <c r="X15">
        <v>0.95579999999999998</v>
      </c>
      <c r="Y15">
        <v>0.99790000000000001</v>
      </c>
    </row>
    <row r="16" spans="1:25" x14ac:dyDescent="0.35">
      <c r="A16" s="25">
        <v>45882</v>
      </c>
      <c r="B16" s="26">
        <v>1.25263888888889</v>
      </c>
      <c r="C16" t="s">
        <v>63</v>
      </c>
      <c r="D16" t="s">
        <v>64</v>
      </c>
      <c r="E16" t="s">
        <v>65</v>
      </c>
      <c r="F16" t="s">
        <v>65</v>
      </c>
      <c r="G16" t="s">
        <v>14</v>
      </c>
      <c r="H16">
        <v>32.845999999999997</v>
      </c>
      <c r="I16">
        <v>5.4109999999999996</v>
      </c>
      <c r="J16">
        <v>143.40799999999999</v>
      </c>
      <c r="K16">
        <v>27.562000000000001</v>
      </c>
      <c r="L16">
        <v>5.2030000000000003</v>
      </c>
      <c r="M16">
        <v>0.40620000000000001</v>
      </c>
      <c r="N16">
        <v>259.08449999999999</v>
      </c>
      <c r="O16">
        <v>80.689499999999995</v>
      </c>
      <c r="P16">
        <v>13.635899999999999</v>
      </c>
      <c r="Q16">
        <v>26.1</v>
      </c>
      <c r="R16">
        <v>1000.9</v>
      </c>
      <c r="S16">
        <v>6.9999999999999999E-4</v>
      </c>
      <c r="T16" t="s">
        <v>66</v>
      </c>
      <c r="U16" t="s">
        <v>6</v>
      </c>
      <c r="V16">
        <v>0.996</v>
      </c>
      <c r="W16">
        <v>0.97260000000000002</v>
      </c>
      <c r="X16">
        <v>0.95579999999999998</v>
      </c>
      <c r="Y16">
        <v>0.99790000000000001</v>
      </c>
    </row>
    <row r="17" spans="1:25" x14ac:dyDescent="0.35">
      <c r="A17" s="25">
        <v>45882</v>
      </c>
      <c r="B17" s="26">
        <v>1.29430555555556</v>
      </c>
      <c r="C17" t="s">
        <v>63</v>
      </c>
      <c r="D17" t="s">
        <v>64</v>
      </c>
      <c r="E17" t="s">
        <v>65</v>
      </c>
      <c r="F17" t="s">
        <v>65</v>
      </c>
      <c r="G17" t="s">
        <v>15</v>
      </c>
      <c r="H17">
        <v>32.844000000000001</v>
      </c>
      <c r="I17">
        <v>5.4480000000000004</v>
      </c>
      <c r="J17">
        <v>143.934</v>
      </c>
      <c r="K17">
        <v>27.555</v>
      </c>
      <c r="L17">
        <v>5.2229999999999999</v>
      </c>
      <c r="M17">
        <v>0.40620000000000001</v>
      </c>
      <c r="N17">
        <v>259.08449999999999</v>
      </c>
      <c r="O17">
        <v>80.439700000000002</v>
      </c>
      <c r="P17">
        <v>13.635899999999999</v>
      </c>
      <c r="Q17">
        <v>26.1</v>
      </c>
      <c r="R17">
        <v>1000.9</v>
      </c>
      <c r="S17">
        <v>6.9999999999999999E-4</v>
      </c>
      <c r="T17" t="s">
        <v>66</v>
      </c>
      <c r="U17" t="s">
        <v>6</v>
      </c>
      <c r="V17">
        <v>0.996</v>
      </c>
      <c r="W17">
        <v>0.97260000000000002</v>
      </c>
      <c r="X17">
        <v>0.95579999999999998</v>
      </c>
      <c r="Y17">
        <v>0.99790000000000001</v>
      </c>
    </row>
    <row r="18" spans="1:25" x14ac:dyDescent="0.35">
      <c r="A18" s="25">
        <v>45882</v>
      </c>
      <c r="B18" s="26">
        <v>1.3359722222222199</v>
      </c>
      <c r="C18" t="s">
        <v>63</v>
      </c>
      <c r="D18" t="s">
        <v>64</v>
      </c>
      <c r="E18" t="s">
        <v>65</v>
      </c>
      <c r="F18" t="s">
        <v>65</v>
      </c>
      <c r="G18">
        <v>90335181</v>
      </c>
      <c r="H18">
        <v>33.384</v>
      </c>
      <c r="I18">
        <v>8.3350000000000009</v>
      </c>
      <c r="J18">
        <v>219.791</v>
      </c>
      <c r="K18">
        <v>27.632999999999999</v>
      </c>
      <c r="L18">
        <v>7.9539999999999997</v>
      </c>
      <c r="M18">
        <v>0.40620000000000001</v>
      </c>
      <c r="N18">
        <v>259.08449999999999</v>
      </c>
      <c r="O18">
        <v>78.991500000000002</v>
      </c>
      <c r="P18">
        <v>13.635899999999999</v>
      </c>
      <c r="Q18">
        <v>26.1</v>
      </c>
      <c r="R18">
        <v>1000.9</v>
      </c>
      <c r="S18">
        <v>6.9999999999999999E-4</v>
      </c>
      <c r="T18" t="s">
        <v>66</v>
      </c>
      <c r="U18" t="s">
        <v>6</v>
      </c>
      <c r="V18">
        <v>0.996</v>
      </c>
      <c r="W18">
        <v>0.97260000000000002</v>
      </c>
      <c r="X18">
        <v>0.95579999999999998</v>
      </c>
      <c r="Y18">
        <v>0.99790000000000001</v>
      </c>
    </row>
    <row r="19" spans="1:25" x14ac:dyDescent="0.35">
      <c r="A19" s="25">
        <v>45882</v>
      </c>
      <c r="B19" s="26">
        <v>1.37763888888889</v>
      </c>
      <c r="C19" t="s">
        <v>63</v>
      </c>
      <c r="D19" t="s">
        <v>64</v>
      </c>
      <c r="E19" t="s">
        <v>65</v>
      </c>
      <c r="F19" t="s">
        <v>65</v>
      </c>
      <c r="G19" t="s">
        <v>16</v>
      </c>
      <c r="H19">
        <v>32.957999999999998</v>
      </c>
      <c r="I19">
        <v>6.165</v>
      </c>
      <c r="J19">
        <v>163.899</v>
      </c>
      <c r="K19">
        <v>27.911999999999999</v>
      </c>
      <c r="L19">
        <v>5.8719999999999999</v>
      </c>
      <c r="M19">
        <v>0.40620000000000001</v>
      </c>
      <c r="N19">
        <v>259.08449999999999</v>
      </c>
      <c r="O19">
        <v>80.659300000000002</v>
      </c>
      <c r="P19">
        <v>13.635899999999999</v>
      </c>
      <c r="Q19">
        <v>26.1</v>
      </c>
      <c r="R19">
        <v>1000.9</v>
      </c>
      <c r="S19">
        <v>6.9999999999999999E-4</v>
      </c>
      <c r="T19" t="s">
        <v>66</v>
      </c>
      <c r="U19" t="s">
        <v>6</v>
      </c>
      <c r="V19">
        <v>0.996</v>
      </c>
      <c r="W19">
        <v>0.97260000000000002</v>
      </c>
      <c r="X19">
        <v>0.95579999999999998</v>
      </c>
      <c r="Y19">
        <v>0.99790000000000001</v>
      </c>
    </row>
    <row r="20" spans="1:25" x14ac:dyDescent="0.35">
      <c r="A20" s="25">
        <v>45882</v>
      </c>
      <c r="B20" s="26">
        <v>1.41930555555556</v>
      </c>
      <c r="C20" t="s">
        <v>63</v>
      </c>
      <c r="D20" t="s">
        <v>64</v>
      </c>
      <c r="E20" t="s">
        <v>65</v>
      </c>
      <c r="F20" t="s">
        <v>65</v>
      </c>
      <c r="G20" t="s">
        <v>17</v>
      </c>
      <c r="H20">
        <v>32.969000000000001</v>
      </c>
      <c r="I20">
        <v>6.1790000000000003</v>
      </c>
      <c r="J20">
        <v>164.87100000000001</v>
      </c>
      <c r="K20">
        <v>27.832999999999998</v>
      </c>
      <c r="L20">
        <v>5.9240000000000004</v>
      </c>
      <c r="M20">
        <v>0.40620000000000001</v>
      </c>
      <c r="N20">
        <v>259.08449999999999</v>
      </c>
      <c r="O20">
        <v>80.930400000000006</v>
      </c>
      <c r="P20">
        <v>13.635899999999999</v>
      </c>
      <c r="Q20">
        <v>26.1</v>
      </c>
      <c r="R20">
        <v>1000.9</v>
      </c>
      <c r="S20">
        <v>6.9999999999999999E-4</v>
      </c>
      <c r="T20" t="s">
        <v>66</v>
      </c>
      <c r="U20" t="s">
        <v>6</v>
      </c>
      <c r="V20">
        <v>0.996</v>
      </c>
      <c r="W20">
        <v>0.97260000000000002</v>
      </c>
      <c r="X20">
        <v>0.95579999999999998</v>
      </c>
      <c r="Y20">
        <v>0.99790000000000001</v>
      </c>
    </row>
    <row r="21" spans="1:25" x14ac:dyDescent="0.35">
      <c r="A21" s="25">
        <v>45940</v>
      </c>
      <c r="B21" s="26">
        <v>1.4609722222221799</v>
      </c>
      <c r="C21" t="s">
        <v>63</v>
      </c>
      <c r="D21" t="s">
        <v>64</v>
      </c>
      <c r="E21" t="s">
        <v>65</v>
      </c>
      <c r="F21" t="s">
        <v>65</v>
      </c>
      <c r="G21">
        <v>2121590</v>
      </c>
      <c r="H21">
        <v>33.35</v>
      </c>
      <c r="I21">
        <v>8.1470000000000002</v>
      </c>
      <c r="J21">
        <v>216.59899999999999</v>
      </c>
      <c r="K21">
        <v>27.713000000000001</v>
      </c>
      <c r="L21">
        <v>7.8159999999999998</v>
      </c>
      <c r="M21">
        <v>0.40620000000000001</v>
      </c>
      <c r="N21">
        <v>259.08449999999999</v>
      </c>
      <c r="O21">
        <v>79.715599999999995</v>
      </c>
      <c r="P21">
        <v>13.635899999999999</v>
      </c>
      <c r="Q21">
        <v>26.1</v>
      </c>
      <c r="R21">
        <v>1000.9</v>
      </c>
      <c r="S21">
        <v>6.9999999999999999E-4</v>
      </c>
      <c r="T21" t="s">
        <v>66</v>
      </c>
      <c r="U21" t="s">
        <v>6</v>
      </c>
      <c r="V21">
        <v>0.996</v>
      </c>
      <c r="W21">
        <v>0.97260000000000002</v>
      </c>
      <c r="X21">
        <v>0.95579999999999998</v>
      </c>
      <c r="Y21">
        <v>0.99790000000000001</v>
      </c>
    </row>
    <row r="22" spans="1:25" x14ac:dyDescent="0.35">
      <c r="A22" s="25">
        <v>45940</v>
      </c>
      <c r="B22" s="26">
        <v>1.50263888888884</v>
      </c>
      <c r="C22" t="s">
        <v>63</v>
      </c>
      <c r="D22" t="s">
        <v>64</v>
      </c>
      <c r="E22" t="s">
        <v>65</v>
      </c>
      <c r="F22" t="s">
        <v>65</v>
      </c>
      <c r="G22">
        <v>2121589</v>
      </c>
      <c r="H22">
        <v>33.317999999999998</v>
      </c>
      <c r="I22">
        <v>8.1419999999999995</v>
      </c>
      <c r="J22">
        <v>216.11799999999999</v>
      </c>
      <c r="K22">
        <v>27.699000000000002</v>
      </c>
      <c r="L22">
        <v>7.8019999999999996</v>
      </c>
      <c r="M22">
        <v>0.40620000000000001</v>
      </c>
      <c r="N22">
        <v>259.08449999999999</v>
      </c>
      <c r="O22">
        <v>79.669899999999998</v>
      </c>
      <c r="P22">
        <v>13.635899999999999</v>
      </c>
      <c r="Q22">
        <v>26.1</v>
      </c>
      <c r="R22">
        <v>1000.9</v>
      </c>
      <c r="S22">
        <v>6.9999999999999999E-4</v>
      </c>
      <c r="T22" t="s">
        <v>66</v>
      </c>
      <c r="U22" t="s">
        <v>6</v>
      </c>
      <c r="V22">
        <v>0.996</v>
      </c>
      <c r="W22">
        <v>0.97260000000000002</v>
      </c>
      <c r="X22">
        <v>0.95579999999999998</v>
      </c>
      <c r="Y22">
        <v>0.99790000000000001</v>
      </c>
    </row>
    <row r="23" spans="1:25" x14ac:dyDescent="0.35">
      <c r="A23" s="25">
        <v>45940</v>
      </c>
      <c r="B23" s="26">
        <v>1.5443055555555001</v>
      </c>
      <c r="C23" t="s">
        <v>63</v>
      </c>
      <c r="D23" t="s">
        <v>64</v>
      </c>
      <c r="E23" t="s">
        <v>65</v>
      </c>
      <c r="F23" t="s">
        <v>65</v>
      </c>
      <c r="G23" t="s">
        <v>1</v>
      </c>
      <c r="H23">
        <v>24.626000000000001</v>
      </c>
      <c r="I23">
        <v>5.5750000000000002</v>
      </c>
      <c r="J23">
        <v>110.364</v>
      </c>
      <c r="K23">
        <v>20.847000000000001</v>
      </c>
      <c r="L23">
        <v>5.2939999999999996</v>
      </c>
      <c r="M23">
        <v>0.40620000000000001</v>
      </c>
      <c r="N23">
        <v>259.08449999999999</v>
      </c>
      <c r="O23">
        <v>80.385900000000007</v>
      </c>
      <c r="P23">
        <v>13.635899999999999</v>
      </c>
      <c r="Q23">
        <v>26.1</v>
      </c>
      <c r="R23">
        <v>1000.9</v>
      </c>
      <c r="S23">
        <v>6.9999999999999999E-4</v>
      </c>
      <c r="T23" t="s">
        <v>66</v>
      </c>
      <c r="U23" t="s">
        <v>6</v>
      </c>
      <c r="V23">
        <v>0.996</v>
      </c>
      <c r="W23">
        <v>0.97260000000000002</v>
      </c>
      <c r="X23">
        <v>0.95579999999999998</v>
      </c>
      <c r="Y23">
        <v>0.99790000000000001</v>
      </c>
    </row>
    <row r="24" spans="1:25" x14ac:dyDescent="0.35">
      <c r="A24" s="25">
        <v>45940</v>
      </c>
      <c r="B24" s="26">
        <v>1.5859722222221599</v>
      </c>
      <c r="C24" t="s">
        <v>63</v>
      </c>
      <c r="D24" t="s">
        <v>64</v>
      </c>
      <c r="E24" t="s">
        <v>65</v>
      </c>
      <c r="F24" t="s">
        <v>65</v>
      </c>
      <c r="G24" t="s">
        <v>2</v>
      </c>
      <c r="H24">
        <v>24.667999999999999</v>
      </c>
      <c r="I24">
        <v>5.8019999999999996</v>
      </c>
      <c r="J24">
        <v>115.533</v>
      </c>
      <c r="K24">
        <v>20.838999999999999</v>
      </c>
      <c r="L24">
        <v>5.5439999999999996</v>
      </c>
      <c r="M24">
        <v>0.40620000000000001</v>
      </c>
      <c r="N24">
        <v>259.08449999999999</v>
      </c>
      <c r="O24">
        <v>80.717500000000001</v>
      </c>
      <c r="P24">
        <v>13.635899999999999</v>
      </c>
      <c r="Q24">
        <v>26.1</v>
      </c>
      <c r="R24">
        <v>1000.9</v>
      </c>
      <c r="S24">
        <v>6.9999999999999999E-4</v>
      </c>
      <c r="T24" t="s">
        <v>66</v>
      </c>
      <c r="U24" t="s">
        <v>6</v>
      </c>
      <c r="V24">
        <v>0.996</v>
      </c>
      <c r="W24">
        <v>0.97260000000000002</v>
      </c>
      <c r="X24">
        <v>0.95579999999999998</v>
      </c>
      <c r="Y24">
        <v>0.99790000000000001</v>
      </c>
    </row>
    <row r="25" spans="1:25" x14ac:dyDescent="0.35">
      <c r="A25" s="25">
        <v>45940</v>
      </c>
      <c r="B25" s="26">
        <v>1.62763888888882</v>
      </c>
      <c r="C25" t="s">
        <v>63</v>
      </c>
      <c r="D25" t="s">
        <v>64</v>
      </c>
      <c r="E25" t="s">
        <v>65</v>
      </c>
      <c r="F25" t="s">
        <v>65</v>
      </c>
      <c r="G25" t="s">
        <v>3</v>
      </c>
      <c r="H25">
        <v>26.821999999999999</v>
      </c>
      <c r="I25">
        <v>7.1310000000000002</v>
      </c>
      <c r="J25">
        <v>152.10300000000001</v>
      </c>
      <c r="K25">
        <v>22.279</v>
      </c>
      <c r="L25">
        <v>6.827</v>
      </c>
      <c r="M25">
        <v>0.40620000000000001</v>
      </c>
      <c r="N25">
        <v>259.08449999999999</v>
      </c>
      <c r="O25">
        <v>79.523600000000002</v>
      </c>
      <c r="P25">
        <v>13.635899999999999</v>
      </c>
      <c r="Q25">
        <v>26.1</v>
      </c>
      <c r="R25">
        <v>1000.9</v>
      </c>
      <c r="S25">
        <v>6.9999999999999999E-4</v>
      </c>
      <c r="T25" t="s">
        <v>66</v>
      </c>
      <c r="U25" t="s">
        <v>6</v>
      </c>
      <c r="V25">
        <v>0.996</v>
      </c>
      <c r="W25">
        <v>0.97260000000000002</v>
      </c>
      <c r="X25">
        <v>0.95579999999999998</v>
      </c>
      <c r="Y25">
        <v>0.99790000000000001</v>
      </c>
    </row>
    <row r="26" spans="1:25" x14ac:dyDescent="0.35">
      <c r="A26" s="25">
        <v>45940</v>
      </c>
      <c r="B26" s="26">
        <v>1.6693055555554801</v>
      </c>
      <c r="C26" t="s">
        <v>63</v>
      </c>
      <c r="D26" t="s">
        <v>64</v>
      </c>
      <c r="E26" t="s">
        <v>65</v>
      </c>
      <c r="F26" t="s">
        <v>65</v>
      </c>
      <c r="G26" t="s">
        <v>4</v>
      </c>
      <c r="H26">
        <v>26.824000000000002</v>
      </c>
      <c r="I26">
        <v>7.0789999999999997</v>
      </c>
      <c r="J26">
        <v>151.18</v>
      </c>
      <c r="K26">
        <v>22.355</v>
      </c>
      <c r="L26">
        <v>6.7629999999999999</v>
      </c>
      <c r="M26">
        <v>0.40620000000000001</v>
      </c>
      <c r="N26">
        <v>259.08449999999999</v>
      </c>
      <c r="O26">
        <v>79.613200000000006</v>
      </c>
      <c r="P26">
        <v>13.635899999999999</v>
      </c>
      <c r="Q26">
        <v>26.1</v>
      </c>
      <c r="R26">
        <v>1000.9</v>
      </c>
      <c r="S26">
        <v>6.9999999999999999E-4</v>
      </c>
      <c r="T26" t="s">
        <v>66</v>
      </c>
      <c r="U26" t="s">
        <v>6</v>
      </c>
      <c r="V26">
        <v>0.996</v>
      </c>
      <c r="W26">
        <v>0.97260000000000002</v>
      </c>
      <c r="X26">
        <v>0.95579999999999998</v>
      </c>
      <c r="Y26">
        <v>0.99790000000000001</v>
      </c>
    </row>
    <row r="27" spans="1:25" x14ac:dyDescent="0.35">
      <c r="A27" s="25">
        <v>45940</v>
      </c>
      <c r="B27" s="26">
        <v>1.71097222222214</v>
      </c>
      <c r="C27" t="s">
        <v>63</v>
      </c>
      <c r="D27" t="s">
        <v>64</v>
      </c>
      <c r="E27" t="s">
        <v>65</v>
      </c>
      <c r="F27" t="s">
        <v>65</v>
      </c>
      <c r="G27" t="s">
        <v>5</v>
      </c>
      <c r="H27">
        <v>26.815000000000001</v>
      </c>
      <c r="I27">
        <v>7.0720000000000001</v>
      </c>
      <c r="J27">
        <v>151.244</v>
      </c>
      <c r="K27">
        <v>22.338000000000001</v>
      </c>
      <c r="L27">
        <v>6.7709999999999999</v>
      </c>
      <c r="M27">
        <v>0.40620000000000001</v>
      </c>
      <c r="N27">
        <v>259.08449999999999</v>
      </c>
      <c r="O27">
        <v>79.754599999999996</v>
      </c>
      <c r="P27">
        <v>13.635899999999999</v>
      </c>
      <c r="Q27">
        <v>26.1</v>
      </c>
      <c r="R27">
        <v>1000.9</v>
      </c>
      <c r="S27">
        <v>6.9999999999999999E-4</v>
      </c>
      <c r="T27" t="s">
        <v>66</v>
      </c>
      <c r="U27" t="s">
        <v>6</v>
      </c>
      <c r="V27">
        <v>0.996</v>
      </c>
      <c r="W27">
        <v>0.97260000000000002</v>
      </c>
      <c r="X27">
        <v>0.95579999999999998</v>
      </c>
      <c r="Y27">
        <v>0.99790000000000001</v>
      </c>
    </row>
    <row r="28" spans="1:25" x14ac:dyDescent="0.35">
      <c r="A28" s="25">
        <v>45940</v>
      </c>
      <c r="B28" s="26">
        <v>1.7526388888888</v>
      </c>
      <c r="C28" t="s">
        <v>63</v>
      </c>
      <c r="D28" t="s">
        <v>64</v>
      </c>
      <c r="E28" t="s">
        <v>65</v>
      </c>
      <c r="F28" t="s">
        <v>65</v>
      </c>
      <c r="G28" t="s">
        <v>7</v>
      </c>
      <c r="H28">
        <v>26.524999999999999</v>
      </c>
      <c r="I28">
        <v>6.71</v>
      </c>
      <c r="J28">
        <v>144.511</v>
      </c>
      <c r="K28">
        <v>22.321999999999999</v>
      </c>
      <c r="L28">
        <v>6.4740000000000002</v>
      </c>
      <c r="M28">
        <v>0.40620000000000001</v>
      </c>
      <c r="N28">
        <v>259.08449999999999</v>
      </c>
      <c r="O28">
        <v>81.195700000000002</v>
      </c>
      <c r="P28">
        <v>13.635899999999999</v>
      </c>
      <c r="Q28">
        <v>26.1</v>
      </c>
      <c r="R28">
        <v>1000.9</v>
      </c>
      <c r="S28">
        <v>6.9999999999999999E-4</v>
      </c>
      <c r="T28" t="s">
        <v>66</v>
      </c>
      <c r="U28" t="s">
        <v>6</v>
      </c>
      <c r="V28">
        <v>0.996</v>
      </c>
      <c r="W28">
        <v>0.97260000000000002</v>
      </c>
      <c r="X28">
        <v>0.95579999999999998</v>
      </c>
      <c r="Y28">
        <v>0.99790000000000001</v>
      </c>
    </row>
    <row r="29" spans="1:25" x14ac:dyDescent="0.35">
      <c r="A29" s="25">
        <v>45940</v>
      </c>
      <c r="B29" s="26">
        <v>1.7943055555554599</v>
      </c>
      <c r="C29" t="s">
        <v>63</v>
      </c>
      <c r="D29" t="s">
        <v>64</v>
      </c>
      <c r="E29" t="s">
        <v>65</v>
      </c>
      <c r="F29" t="s">
        <v>65</v>
      </c>
      <c r="G29" t="s">
        <v>8</v>
      </c>
      <c r="H29">
        <v>26.562999999999999</v>
      </c>
      <c r="I29">
        <v>6.76</v>
      </c>
      <c r="J29">
        <v>145.02600000000001</v>
      </c>
      <c r="K29">
        <v>22.265999999999998</v>
      </c>
      <c r="L29">
        <v>6.5129999999999999</v>
      </c>
      <c r="M29">
        <v>0.40620000000000001</v>
      </c>
      <c r="N29">
        <v>259.08449999999999</v>
      </c>
      <c r="O29">
        <v>80.768900000000002</v>
      </c>
      <c r="P29">
        <v>13.635899999999999</v>
      </c>
      <c r="Q29">
        <v>26.1</v>
      </c>
      <c r="R29">
        <v>1000.9</v>
      </c>
      <c r="S29">
        <v>6.9999999999999999E-4</v>
      </c>
      <c r="T29" t="s">
        <v>66</v>
      </c>
      <c r="U29" t="s">
        <v>6</v>
      </c>
      <c r="V29">
        <v>0.996</v>
      </c>
      <c r="W29">
        <v>0.97260000000000002</v>
      </c>
      <c r="X29">
        <v>0.95579999999999998</v>
      </c>
      <c r="Y29">
        <v>0.99790000000000001</v>
      </c>
    </row>
    <row r="30" spans="1:25" x14ac:dyDescent="0.35">
      <c r="A30" s="25">
        <v>45940</v>
      </c>
      <c r="B30" s="26">
        <v>1.83597222222212</v>
      </c>
      <c r="C30" t="s">
        <v>63</v>
      </c>
      <c r="D30" t="s">
        <v>64</v>
      </c>
      <c r="E30" t="s">
        <v>65</v>
      </c>
      <c r="F30" t="s">
        <v>65</v>
      </c>
      <c r="G30" t="s">
        <v>9</v>
      </c>
      <c r="H30">
        <v>26.614000000000001</v>
      </c>
      <c r="I30">
        <v>7.1559999999999997</v>
      </c>
      <c r="J30">
        <v>153.73099999999999</v>
      </c>
      <c r="K30">
        <v>22.302</v>
      </c>
      <c r="L30">
        <v>6.8929999999999998</v>
      </c>
      <c r="M30">
        <v>0.40620000000000001</v>
      </c>
      <c r="N30">
        <v>259.08449999999999</v>
      </c>
      <c r="O30">
        <v>80.723299999999995</v>
      </c>
      <c r="P30">
        <v>13.635899999999999</v>
      </c>
      <c r="Q30">
        <v>26.1</v>
      </c>
      <c r="R30">
        <v>1000.9</v>
      </c>
      <c r="S30">
        <v>6.9999999999999999E-4</v>
      </c>
      <c r="T30" t="s">
        <v>66</v>
      </c>
      <c r="U30" t="s">
        <v>6</v>
      </c>
      <c r="V30">
        <v>0.996</v>
      </c>
      <c r="W30">
        <v>0.97260000000000002</v>
      </c>
      <c r="X30">
        <v>0.95579999999999998</v>
      </c>
      <c r="Y30">
        <v>0.99790000000000001</v>
      </c>
    </row>
    <row r="31" spans="1:25" x14ac:dyDescent="0.35">
      <c r="A31" s="25">
        <v>45940</v>
      </c>
      <c r="B31" s="26">
        <v>1.8776388888887801</v>
      </c>
      <c r="C31" t="s">
        <v>63</v>
      </c>
      <c r="D31" t="s">
        <v>64</v>
      </c>
      <c r="E31" t="s">
        <v>65</v>
      </c>
      <c r="F31" t="s">
        <v>65</v>
      </c>
      <c r="G31" t="s">
        <v>10</v>
      </c>
      <c r="H31">
        <v>32.996000000000002</v>
      </c>
      <c r="I31">
        <v>6.1820000000000004</v>
      </c>
      <c r="J31">
        <v>162.85</v>
      </c>
      <c r="K31">
        <v>27.454000000000001</v>
      </c>
      <c r="L31">
        <v>5.9320000000000004</v>
      </c>
      <c r="M31">
        <v>0.40620000000000001</v>
      </c>
      <c r="N31">
        <v>259.08449999999999</v>
      </c>
      <c r="O31">
        <v>79.828999999999994</v>
      </c>
      <c r="P31">
        <v>13.635899999999999</v>
      </c>
      <c r="Q31">
        <v>26.1</v>
      </c>
      <c r="R31">
        <v>1000.9</v>
      </c>
      <c r="S31">
        <v>6.9999999999999999E-4</v>
      </c>
      <c r="T31" t="s">
        <v>66</v>
      </c>
      <c r="U31" t="s">
        <v>6</v>
      </c>
      <c r="V31">
        <v>0.996</v>
      </c>
      <c r="W31">
        <v>0.97260000000000002</v>
      </c>
      <c r="X31">
        <v>0.95579999999999998</v>
      </c>
      <c r="Y31">
        <v>0.99790000000000001</v>
      </c>
    </row>
    <row r="32" spans="1:25" x14ac:dyDescent="0.35">
      <c r="A32" s="25">
        <v>45940</v>
      </c>
      <c r="B32" s="26">
        <v>1.9193055555554399</v>
      </c>
      <c r="C32" t="s">
        <v>63</v>
      </c>
      <c r="D32" t="s">
        <v>64</v>
      </c>
      <c r="E32" t="s">
        <v>65</v>
      </c>
      <c r="F32" t="s">
        <v>65</v>
      </c>
      <c r="G32" t="s">
        <v>11</v>
      </c>
      <c r="H32">
        <v>32.984000000000002</v>
      </c>
      <c r="I32">
        <v>6.1970000000000001</v>
      </c>
      <c r="J32">
        <v>162.91300000000001</v>
      </c>
      <c r="K32">
        <v>27.452999999999999</v>
      </c>
      <c r="L32">
        <v>5.9340000000000002</v>
      </c>
      <c r="M32">
        <v>0.40620000000000001</v>
      </c>
      <c r="N32">
        <v>259.08449999999999</v>
      </c>
      <c r="O32">
        <v>79.698999999999998</v>
      </c>
      <c r="P32">
        <v>13.635899999999999</v>
      </c>
      <c r="Q32">
        <v>26.1</v>
      </c>
      <c r="R32">
        <v>1000.9</v>
      </c>
      <c r="S32">
        <v>6.9999999999999999E-4</v>
      </c>
      <c r="T32" t="s">
        <v>66</v>
      </c>
      <c r="U32" t="s">
        <v>6</v>
      </c>
      <c r="V32">
        <v>0.996</v>
      </c>
      <c r="W32">
        <v>0.97260000000000002</v>
      </c>
      <c r="X32">
        <v>0.95579999999999998</v>
      </c>
      <c r="Y32">
        <v>0.99790000000000001</v>
      </c>
    </row>
    <row r="33" spans="1:25" x14ac:dyDescent="0.35">
      <c r="A33" s="25">
        <v>45940</v>
      </c>
      <c r="B33" s="26">
        <v>1.9609722222221</v>
      </c>
      <c r="C33" t="s">
        <v>63</v>
      </c>
      <c r="D33" t="s">
        <v>64</v>
      </c>
      <c r="E33" t="s">
        <v>65</v>
      </c>
      <c r="F33" t="s">
        <v>65</v>
      </c>
      <c r="G33" t="s">
        <v>12</v>
      </c>
      <c r="H33">
        <v>33.052999999999997</v>
      </c>
      <c r="I33">
        <v>6.4290000000000003</v>
      </c>
      <c r="J33">
        <v>168.73</v>
      </c>
      <c r="K33">
        <v>27.45</v>
      </c>
      <c r="L33">
        <v>6.1470000000000002</v>
      </c>
      <c r="M33">
        <v>0.40620000000000001</v>
      </c>
      <c r="N33">
        <v>259.08449999999999</v>
      </c>
      <c r="O33">
        <v>79.398200000000003</v>
      </c>
      <c r="P33">
        <v>13.635899999999999</v>
      </c>
      <c r="Q33">
        <v>26.1</v>
      </c>
      <c r="R33">
        <v>1000.9</v>
      </c>
      <c r="S33">
        <v>6.9999999999999999E-4</v>
      </c>
      <c r="T33" t="s">
        <v>66</v>
      </c>
      <c r="U33" t="s">
        <v>6</v>
      </c>
      <c r="V33">
        <v>0.996</v>
      </c>
      <c r="W33">
        <v>0.97260000000000002</v>
      </c>
      <c r="X33">
        <v>0.95579999999999998</v>
      </c>
      <c r="Y33">
        <v>0.99790000000000001</v>
      </c>
    </row>
    <row r="34" spans="1:25" x14ac:dyDescent="0.35">
      <c r="A34" s="25">
        <v>45940</v>
      </c>
      <c r="B34" s="26">
        <v>2.0026388888887601</v>
      </c>
      <c r="C34" t="s">
        <v>63</v>
      </c>
      <c r="D34" t="s">
        <v>64</v>
      </c>
      <c r="E34" t="s">
        <v>65</v>
      </c>
      <c r="F34" t="s">
        <v>65</v>
      </c>
      <c r="G34" t="s">
        <v>13</v>
      </c>
      <c r="H34">
        <v>33.014000000000003</v>
      </c>
      <c r="I34">
        <v>6.4160000000000004</v>
      </c>
      <c r="J34">
        <v>168.86600000000001</v>
      </c>
      <c r="K34">
        <v>27.431000000000001</v>
      </c>
      <c r="L34">
        <v>6.1559999999999997</v>
      </c>
      <c r="M34">
        <v>0.40620000000000001</v>
      </c>
      <c r="N34">
        <v>259.08449999999999</v>
      </c>
      <c r="O34">
        <v>79.725899999999996</v>
      </c>
      <c r="P34">
        <v>13.635899999999999</v>
      </c>
      <c r="Q34">
        <v>26.1</v>
      </c>
      <c r="R34">
        <v>1000.9</v>
      </c>
      <c r="S34">
        <v>6.9999999999999999E-4</v>
      </c>
      <c r="T34" t="s">
        <v>66</v>
      </c>
      <c r="U34" t="s">
        <v>6</v>
      </c>
      <c r="V34">
        <v>0.996</v>
      </c>
      <c r="W34">
        <v>0.97260000000000002</v>
      </c>
      <c r="X34">
        <v>0.95579999999999998</v>
      </c>
      <c r="Y34">
        <v>0.99790000000000001</v>
      </c>
    </row>
    <row r="35" spans="1:25" x14ac:dyDescent="0.35">
      <c r="A35" s="25">
        <v>45940</v>
      </c>
      <c r="B35" s="26">
        <v>2.0443055555554199</v>
      </c>
      <c r="C35" t="s">
        <v>63</v>
      </c>
      <c r="D35" t="s">
        <v>64</v>
      </c>
      <c r="E35" t="s">
        <v>65</v>
      </c>
      <c r="F35" t="s">
        <v>65</v>
      </c>
      <c r="G35" t="s">
        <v>14</v>
      </c>
      <c r="H35">
        <v>32.843000000000004</v>
      </c>
      <c r="I35">
        <v>5.415</v>
      </c>
      <c r="J35">
        <v>142.36600000000001</v>
      </c>
      <c r="K35">
        <v>27.507999999999999</v>
      </c>
      <c r="L35">
        <v>5.1749999999999998</v>
      </c>
      <c r="M35">
        <v>0.40620000000000001</v>
      </c>
      <c r="N35">
        <v>259.08449999999999</v>
      </c>
      <c r="O35">
        <v>80.055899999999994</v>
      </c>
      <c r="P35">
        <v>13.635899999999999</v>
      </c>
      <c r="Q35">
        <v>26.1</v>
      </c>
      <c r="R35">
        <v>1000.9</v>
      </c>
      <c r="S35">
        <v>6.9999999999999999E-4</v>
      </c>
      <c r="T35" t="s">
        <v>66</v>
      </c>
      <c r="U35" t="s">
        <v>6</v>
      </c>
      <c r="V35">
        <v>0.996</v>
      </c>
      <c r="W35">
        <v>0.97260000000000002</v>
      </c>
      <c r="X35">
        <v>0.95579999999999998</v>
      </c>
      <c r="Y35">
        <v>0.99790000000000001</v>
      </c>
    </row>
    <row r="36" spans="1:25" x14ac:dyDescent="0.35">
      <c r="A36" s="25">
        <v>45940</v>
      </c>
      <c r="B36" s="26">
        <v>2.0859722222220798</v>
      </c>
      <c r="C36" t="s">
        <v>63</v>
      </c>
      <c r="D36" t="s">
        <v>64</v>
      </c>
      <c r="E36" t="s">
        <v>65</v>
      </c>
      <c r="F36" t="s">
        <v>65</v>
      </c>
      <c r="G36" t="s">
        <v>15</v>
      </c>
      <c r="H36">
        <v>32.844999999999999</v>
      </c>
      <c r="I36">
        <v>5.4139999999999997</v>
      </c>
      <c r="J36">
        <v>142.66300000000001</v>
      </c>
      <c r="K36">
        <v>27.44</v>
      </c>
      <c r="L36">
        <v>5.1989999999999998</v>
      </c>
      <c r="M36">
        <v>0.40620000000000001</v>
      </c>
      <c r="N36">
        <v>259.08449999999999</v>
      </c>
      <c r="O36">
        <v>80.234300000000005</v>
      </c>
      <c r="P36">
        <v>13.635899999999999</v>
      </c>
      <c r="Q36">
        <v>26.1</v>
      </c>
      <c r="R36">
        <v>1000.9</v>
      </c>
      <c r="S36">
        <v>6.9999999999999999E-4</v>
      </c>
      <c r="T36" t="s">
        <v>66</v>
      </c>
      <c r="U36" t="s">
        <v>6</v>
      </c>
      <c r="V36">
        <v>0.996</v>
      </c>
      <c r="W36">
        <v>0.97260000000000002</v>
      </c>
      <c r="X36">
        <v>0.95579999999999998</v>
      </c>
      <c r="Y36">
        <v>0.99790000000000001</v>
      </c>
    </row>
    <row r="37" spans="1:25" x14ac:dyDescent="0.35">
      <c r="A37" s="25">
        <v>45940</v>
      </c>
      <c r="B37" s="26">
        <v>2.1276388888887401</v>
      </c>
      <c r="C37" t="s">
        <v>63</v>
      </c>
      <c r="D37" t="s">
        <v>64</v>
      </c>
      <c r="E37" t="s">
        <v>65</v>
      </c>
      <c r="F37" t="s">
        <v>65</v>
      </c>
      <c r="G37">
        <v>90335181</v>
      </c>
      <c r="H37">
        <v>33.378</v>
      </c>
      <c r="I37">
        <v>8.3610000000000007</v>
      </c>
      <c r="J37">
        <v>219.381</v>
      </c>
      <c r="K37">
        <v>27.5</v>
      </c>
      <c r="L37">
        <v>7.9779999999999998</v>
      </c>
      <c r="M37">
        <v>0.40620000000000001</v>
      </c>
      <c r="N37">
        <v>259.08449999999999</v>
      </c>
      <c r="O37">
        <v>78.615099999999998</v>
      </c>
      <c r="P37">
        <v>13.635899999999999</v>
      </c>
      <c r="Q37">
        <v>26.1</v>
      </c>
      <c r="R37">
        <v>1000.9</v>
      </c>
      <c r="S37">
        <v>6.9999999999999999E-4</v>
      </c>
      <c r="T37" t="s">
        <v>66</v>
      </c>
      <c r="U37" t="s">
        <v>6</v>
      </c>
      <c r="V37">
        <v>0.996</v>
      </c>
      <c r="W37">
        <v>0.97260000000000002</v>
      </c>
      <c r="X37">
        <v>0.95579999999999998</v>
      </c>
      <c r="Y37">
        <v>0.99790000000000001</v>
      </c>
    </row>
    <row r="38" spans="1:25" x14ac:dyDescent="0.35">
      <c r="A38" s="25">
        <v>45940</v>
      </c>
      <c r="B38" s="26">
        <v>2.1693055555553999</v>
      </c>
      <c r="C38" t="s">
        <v>63</v>
      </c>
      <c r="D38" t="s">
        <v>64</v>
      </c>
      <c r="E38" t="s">
        <v>65</v>
      </c>
      <c r="F38" t="s">
        <v>65</v>
      </c>
      <c r="G38" t="s">
        <v>16</v>
      </c>
      <c r="H38">
        <v>32.953000000000003</v>
      </c>
      <c r="I38">
        <v>6.1559999999999997</v>
      </c>
      <c r="J38">
        <v>162.255</v>
      </c>
      <c r="K38">
        <v>27.91</v>
      </c>
      <c r="L38">
        <v>5.8140000000000001</v>
      </c>
      <c r="M38">
        <v>0.40620000000000001</v>
      </c>
      <c r="N38">
        <v>259.08449999999999</v>
      </c>
      <c r="O38">
        <v>79.988699999999994</v>
      </c>
      <c r="P38">
        <v>13.635899999999999</v>
      </c>
      <c r="Q38">
        <v>26.1</v>
      </c>
      <c r="R38">
        <v>1000.9</v>
      </c>
      <c r="S38">
        <v>6.9999999999999999E-4</v>
      </c>
      <c r="T38" t="s">
        <v>66</v>
      </c>
      <c r="U38" t="s">
        <v>6</v>
      </c>
      <c r="V38">
        <v>0.996</v>
      </c>
      <c r="W38">
        <v>0.97260000000000002</v>
      </c>
      <c r="X38">
        <v>0.95579999999999998</v>
      </c>
      <c r="Y38">
        <v>0.99790000000000001</v>
      </c>
    </row>
    <row r="39" spans="1:25" x14ac:dyDescent="0.35">
      <c r="A39" s="25">
        <v>45940</v>
      </c>
      <c r="B39" s="26">
        <v>2.2109722222220598</v>
      </c>
      <c r="C39" t="s">
        <v>63</v>
      </c>
      <c r="D39" t="s">
        <v>64</v>
      </c>
      <c r="E39" t="s">
        <v>65</v>
      </c>
      <c r="F39" t="s">
        <v>65</v>
      </c>
      <c r="G39" t="s">
        <v>17</v>
      </c>
      <c r="H39">
        <v>32.951999999999998</v>
      </c>
      <c r="I39">
        <v>6.1529999999999996</v>
      </c>
      <c r="J39">
        <v>163.386</v>
      </c>
      <c r="K39">
        <v>27.815999999999999</v>
      </c>
      <c r="L39">
        <v>5.8739999999999997</v>
      </c>
      <c r="M39">
        <v>0.40620000000000001</v>
      </c>
      <c r="N39">
        <v>259.08449999999999</v>
      </c>
      <c r="O39">
        <v>80.585400000000007</v>
      </c>
      <c r="P39">
        <v>13.635899999999999</v>
      </c>
      <c r="Q39">
        <v>26.1</v>
      </c>
      <c r="R39">
        <v>1000.9</v>
      </c>
      <c r="S39">
        <v>6.9999999999999999E-4</v>
      </c>
      <c r="T39" t="s">
        <v>66</v>
      </c>
      <c r="U39" t="s">
        <v>6</v>
      </c>
      <c r="V39">
        <v>0.996</v>
      </c>
      <c r="W39">
        <v>0.97260000000000002</v>
      </c>
      <c r="X39">
        <v>0.95579999999999998</v>
      </c>
      <c r="Y39">
        <v>0.99790000000000001</v>
      </c>
    </row>
  </sheetData>
  <autoFilter ref="A1:Y6" xr:uid="{604E8F85-4AEB-445F-816E-F727680DBD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BD1E-2000-4C5D-B13B-F485200C0D40}">
  <dimension ref="A4:W72"/>
  <sheetViews>
    <sheetView tabSelected="1" topLeftCell="A37" zoomScale="55" zoomScaleNormal="55" workbookViewId="0">
      <selection activeCell="K70" sqref="G64:K70"/>
    </sheetView>
  </sheetViews>
  <sheetFormatPr defaultRowHeight="14.5" x14ac:dyDescent="0.35"/>
  <cols>
    <col min="1" max="1" width="63.81640625" customWidth="1"/>
    <col min="2" max="2" width="19.81640625" customWidth="1"/>
    <col min="3" max="3" width="22.7265625" customWidth="1"/>
    <col min="4" max="4" width="19.453125" customWidth="1"/>
    <col min="5" max="5" width="14.26953125" customWidth="1"/>
    <col min="6" max="6" width="14" customWidth="1"/>
    <col min="7" max="7" width="15.453125" customWidth="1"/>
    <col min="8" max="8" width="11.7265625" customWidth="1"/>
    <col min="9" max="9" width="11.1796875" customWidth="1"/>
    <col min="10" max="10" width="13.7265625" customWidth="1"/>
    <col min="11" max="11" width="14" customWidth="1"/>
    <col min="14" max="14" width="46.453125" customWidth="1"/>
    <col min="17" max="17" width="6.81640625" customWidth="1"/>
    <col min="20" max="20" width="28.1796875" customWidth="1"/>
    <col min="23" max="23" width="11.26953125" customWidth="1"/>
  </cols>
  <sheetData>
    <row r="4" spans="1:23" ht="15" thickBot="1" x14ac:dyDescent="0.4"/>
    <row r="5" spans="1:23" ht="61.5" customHeight="1" x14ac:dyDescent="0.35">
      <c r="A5" s="48"/>
      <c r="B5" s="49"/>
      <c r="C5" s="49"/>
      <c r="D5" s="45" t="s">
        <v>18</v>
      </c>
      <c r="E5" s="45"/>
      <c r="F5" s="45"/>
      <c r="G5" s="45"/>
      <c r="H5" s="45"/>
      <c r="I5" s="45"/>
      <c r="J5" s="45"/>
      <c r="K5" s="45" t="s">
        <v>19</v>
      </c>
      <c r="L5" s="45"/>
      <c r="M5" s="45"/>
      <c r="N5" s="45"/>
      <c r="O5" s="45" t="s">
        <v>20</v>
      </c>
      <c r="P5" s="45"/>
      <c r="Q5" s="45"/>
      <c r="R5" s="45"/>
      <c r="S5" s="45"/>
      <c r="T5" s="45"/>
      <c r="U5" s="46" t="s">
        <v>21</v>
      </c>
      <c r="V5" s="46"/>
      <c r="W5" s="47"/>
    </row>
    <row r="6" spans="1:23" s="2" customFormat="1" ht="34.5" customHeight="1" x14ac:dyDescent="0.35">
      <c r="A6" s="13" t="s">
        <v>0</v>
      </c>
      <c r="B6" s="9" t="s">
        <v>22</v>
      </c>
      <c r="C6" s="9" t="s">
        <v>23</v>
      </c>
      <c r="D6" s="9" t="s">
        <v>24</v>
      </c>
      <c r="E6" s="10" t="s">
        <v>25</v>
      </c>
      <c r="F6" s="9" t="s">
        <v>26</v>
      </c>
      <c r="G6" s="9" t="s">
        <v>27</v>
      </c>
      <c r="H6" s="9" t="s">
        <v>28</v>
      </c>
      <c r="I6" s="9" t="s">
        <v>29</v>
      </c>
      <c r="J6" s="9" t="s">
        <v>30</v>
      </c>
      <c r="K6" s="36" t="s">
        <v>31</v>
      </c>
      <c r="L6" s="36"/>
      <c r="M6" s="36"/>
      <c r="N6" s="36"/>
      <c r="O6" s="36" t="s">
        <v>32</v>
      </c>
      <c r="P6" s="36"/>
      <c r="Q6" s="36"/>
      <c r="R6" s="36" t="s">
        <v>33</v>
      </c>
      <c r="S6" s="36"/>
      <c r="T6" s="36"/>
      <c r="U6" s="36" t="s">
        <v>34</v>
      </c>
      <c r="V6" s="36"/>
      <c r="W6" s="37"/>
    </row>
    <row r="7" spans="1:23" s="2" customFormat="1" ht="34.5" customHeight="1" x14ac:dyDescent="0.35">
      <c r="A7" s="14"/>
      <c r="B7" s="12"/>
      <c r="C7" s="15" t="s">
        <v>35</v>
      </c>
      <c r="D7" s="11">
        <v>2121590</v>
      </c>
      <c r="E7" s="11">
        <v>213.221</v>
      </c>
      <c r="F7" s="11">
        <v>27.678999999999998</v>
      </c>
      <c r="G7" s="11">
        <v>7.7030000000000003</v>
      </c>
      <c r="H7" s="11">
        <v>33.237000000000002</v>
      </c>
      <c r="I7" s="11">
        <v>8.0830000000000002</v>
      </c>
      <c r="J7" s="11">
        <v>79.364000000000004</v>
      </c>
      <c r="K7" s="29"/>
      <c r="L7" s="28"/>
      <c r="M7" s="28"/>
      <c r="N7" s="28"/>
      <c r="O7" s="28"/>
      <c r="P7" s="28"/>
      <c r="Q7" s="28"/>
      <c r="R7" s="29"/>
      <c r="S7" s="29"/>
      <c r="T7" s="29"/>
      <c r="U7" s="28"/>
      <c r="V7" s="28"/>
      <c r="W7" s="30"/>
    </row>
    <row r="8" spans="1:23" s="2" customFormat="1" ht="29.25" customHeight="1" x14ac:dyDescent="0.35">
      <c r="A8" s="14"/>
      <c r="B8" s="12"/>
      <c r="C8" s="15" t="s">
        <v>35</v>
      </c>
      <c r="D8" s="11">
        <v>2121589</v>
      </c>
      <c r="E8" s="11">
        <v>213.21199999999999</v>
      </c>
      <c r="F8" s="11">
        <v>27.715</v>
      </c>
      <c r="G8" s="11">
        <v>7.6929999999999996</v>
      </c>
      <c r="H8" s="11">
        <v>33.247</v>
      </c>
      <c r="I8" s="11">
        <v>8.0670000000000002</v>
      </c>
      <c r="J8" s="11">
        <v>79.494299999999996</v>
      </c>
      <c r="K8" s="29"/>
      <c r="L8" s="28"/>
      <c r="M8" s="28"/>
      <c r="N8" s="28"/>
      <c r="O8" s="28"/>
      <c r="P8" s="28"/>
      <c r="Q8" s="28"/>
      <c r="R8" s="29"/>
      <c r="S8" s="29"/>
      <c r="T8" s="29"/>
      <c r="U8" s="28"/>
      <c r="V8" s="28"/>
      <c r="W8" s="30"/>
    </row>
    <row r="9" spans="1:23" ht="28.5" customHeight="1" x14ac:dyDescent="0.35">
      <c r="A9" s="14"/>
      <c r="B9" s="12"/>
      <c r="C9" s="15" t="s">
        <v>35</v>
      </c>
      <c r="D9" s="11" t="s">
        <v>1</v>
      </c>
      <c r="E9" s="11">
        <v>110.267</v>
      </c>
      <c r="F9" s="11">
        <v>20.853000000000002</v>
      </c>
      <c r="G9" s="11">
        <v>5.2880000000000003</v>
      </c>
      <c r="H9" s="11">
        <v>24.605</v>
      </c>
      <c r="I9" s="11">
        <v>5.5819999999999999</v>
      </c>
      <c r="J9" s="11">
        <v>80.2881</v>
      </c>
      <c r="K9" s="29"/>
      <c r="L9" s="28"/>
      <c r="M9" s="28"/>
      <c r="N9" s="28"/>
      <c r="O9" s="28"/>
      <c r="P9" s="28"/>
      <c r="Q9" s="28"/>
      <c r="R9" s="29"/>
      <c r="S9" s="29"/>
      <c r="T9" s="29"/>
      <c r="U9" s="28"/>
      <c r="V9" s="28"/>
      <c r="W9" s="30"/>
    </row>
    <row r="10" spans="1:23" ht="26.25" customHeight="1" x14ac:dyDescent="0.35">
      <c r="A10" s="14"/>
      <c r="B10" s="12"/>
      <c r="C10" s="15" t="s">
        <v>35</v>
      </c>
      <c r="D10" s="11" t="s">
        <v>2</v>
      </c>
      <c r="E10" s="11">
        <v>115.47199999999999</v>
      </c>
      <c r="F10" s="11">
        <v>20.88</v>
      </c>
      <c r="G10" s="11">
        <v>5.53</v>
      </c>
      <c r="H10" s="11">
        <v>24.673999999999999</v>
      </c>
      <c r="I10" s="11">
        <v>5.7990000000000004</v>
      </c>
      <c r="J10" s="11">
        <v>80.703999999999994</v>
      </c>
      <c r="K10" s="29"/>
      <c r="L10" s="28"/>
      <c r="M10" s="28"/>
      <c r="N10" s="28"/>
      <c r="O10" s="28"/>
      <c r="P10" s="28"/>
      <c r="Q10" s="28"/>
      <c r="R10" s="29"/>
      <c r="S10" s="29"/>
      <c r="T10" s="29"/>
      <c r="U10" s="28"/>
      <c r="V10" s="28"/>
      <c r="W10" s="30"/>
    </row>
    <row r="11" spans="1:23" s="2" customFormat="1" ht="34.5" customHeight="1" x14ac:dyDescent="0.35">
      <c r="A11" s="14"/>
      <c r="B11" s="12"/>
      <c r="C11" s="15" t="s">
        <v>35</v>
      </c>
      <c r="D11" s="11" t="s">
        <v>3</v>
      </c>
      <c r="E11" s="11">
        <v>150.542</v>
      </c>
      <c r="F11" s="11">
        <v>22.341000000000001</v>
      </c>
      <c r="G11" s="11">
        <v>6.7380000000000004</v>
      </c>
      <c r="H11" s="11">
        <v>26.716000000000001</v>
      </c>
      <c r="I11" s="11">
        <v>7.05</v>
      </c>
      <c r="J11" s="11">
        <v>79.926000000000002</v>
      </c>
      <c r="K11" s="29"/>
      <c r="L11" s="28"/>
      <c r="M11" s="28"/>
      <c r="N11" s="28"/>
      <c r="O11" s="28"/>
      <c r="P11" s="28"/>
      <c r="Q11" s="28"/>
      <c r="R11" s="29"/>
      <c r="S11" s="29"/>
      <c r="T11" s="29"/>
      <c r="U11" s="28"/>
      <c r="V11" s="28"/>
      <c r="W11" s="30"/>
    </row>
    <row r="12" spans="1:23" s="2" customFormat="1" ht="29.25" customHeight="1" x14ac:dyDescent="0.35">
      <c r="A12" s="14"/>
      <c r="B12" s="12"/>
      <c r="C12" s="15" t="s">
        <v>35</v>
      </c>
      <c r="D12" s="11" t="s">
        <v>4</v>
      </c>
      <c r="E12" s="11">
        <v>152.483</v>
      </c>
      <c r="F12" s="11">
        <v>22.474</v>
      </c>
      <c r="G12" s="11">
        <v>6.7850000000000001</v>
      </c>
      <c r="H12" s="11">
        <v>26.837</v>
      </c>
      <c r="I12" s="11">
        <v>7.0910000000000002</v>
      </c>
      <c r="J12" s="11">
        <v>80.132900000000006</v>
      </c>
      <c r="K12" s="29"/>
      <c r="L12" s="28"/>
      <c r="M12" s="28"/>
      <c r="N12" s="28"/>
      <c r="O12" s="28"/>
      <c r="P12" s="28"/>
      <c r="Q12" s="28"/>
      <c r="R12" s="29"/>
      <c r="S12" s="29"/>
      <c r="T12" s="29"/>
      <c r="U12" s="28"/>
      <c r="V12" s="28"/>
      <c r="W12" s="30"/>
    </row>
    <row r="13" spans="1:23" ht="28.5" customHeight="1" x14ac:dyDescent="0.35">
      <c r="A13" s="14"/>
      <c r="B13" s="12"/>
      <c r="C13" s="15" t="s">
        <v>35</v>
      </c>
      <c r="D13" s="11" t="s">
        <v>5</v>
      </c>
      <c r="E13" s="11">
        <v>153.10900000000001</v>
      </c>
      <c r="F13" s="11">
        <v>22.477</v>
      </c>
      <c r="G13" s="11">
        <v>6.8120000000000003</v>
      </c>
      <c r="H13" s="11">
        <v>26.829000000000001</v>
      </c>
      <c r="I13" s="11">
        <v>7.1260000000000003</v>
      </c>
      <c r="J13" s="11">
        <v>80.0809</v>
      </c>
      <c r="K13" s="29"/>
      <c r="L13" s="28"/>
      <c r="M13" s="28"/>
      <c r="N13" s="28"/>
      <c r="O13" s="28"/>
      <c r="P13" s="28"/>
      <c r="Q13" s="28"/>
      <c r="R13" s="29"/>
      <c r="S13" s="29"/>
      <c r="T13" s="29"/>
      <c r="U13" s="28"/>
      <c r="V13" s="28"/>
      <c r="W13" s="30"/>
    </row>
    <row r="14" spans="1:23" ht="26.25" customHeight="1" x14ac:dyDescent="0.35">
      <c r="A14" s="14"/>
      <c r="B14" s="12"/>
      <c r="C14" s="15" t="s">
        <v>35</v>
      </c>
      <c r="D14" s="11" t="s">
        <v>7</v>
      </c>
      <c r="E14" s="11">
        <v>143.84</v>
      </c>
      <c r="F14" s="11">
        <v>22.338000000000001</v>
      </c>
      <c r="G14" s="11">
        <v>6.4390000000000001</v>
      </c>
      <c r="H14" s="11">
        <v>26.46</v>
      </c>
      <c r="I14" s="11">
        <v>6.673</v>
      </c>
      <c r="J14" s="11">
        <v>81.466399999999993</v>
      </c>
      <c r="K14" s="29"/>
      <c r="L14" s="28"/>
      <c r="M14" s="28"/>
      <c r="N14" s="28"/>
      <c r="O14" s="28"/>
      <c r="P14" s="28"/>
      <c r="Q14" s="28"/>
      <c r="R14" s="29"/>
      <c r="S14" s="29"/>
      <c r="T14" s="29"/>
      <c r="U14" s="28"/>
      <c r="V14" s="28"/>
      <c r="W14" s="30"/>
    </row>
    <row r="15" spans="1:23" s="2" customFormat="1" ht="34.5" customHeight="1" x14ac:dyDescent="0.35">
      <c r="A15" s="14"/>
      <c r="B15" s="12"/>
      <c r="C15" s="15" t="s">
        <v>35</v>
      </c>
      <c r="D15" s="11" t="s">
        <v>8</v>
      </c>
      <c r="E15" s="11">
        <v>145.18700000000001</v>
      </c>
      <c r="F15" s="11">
        <v>22.28</v>
      </c>
      <c r="G15" s="11">
        <v>6.516</v>
      </c>
      <c r="H15" s="11">
        <v>26.533999999999999</v>
      </c>
      <c r="I15" s="11">
        <v>6.79</v>
      </c>
      <c r="J15" s="11">
        <v>80.582700000000003</v>
      </c>
      <c r="K15" s="29"/>
      <c r="L15" s="28"/>
      <c r="M15" s="28"/>
      <c r="N15" s="28"/>
      <c r="O15" s="28"/>
      <c r="P15" s="28"/>
      <c r="Q15" s="28"/>
      <c r="R15" s="29"/>
      <c r="S15" s="29"/>
      <c r="T15" s="29"/>
      <c r="U15" s="28"/>
      <c r="V15" s="28"/>
      <c r="W15" s="30"/>
    </row>
    <row r="16" spans="1:23" s="2" customFormat="1" ht="29.25" customHeight="1" x14ac:dyDescent="0.35">
      <c r="A16" s="14"/>
      <c r="B16" s="12"/>
      <c r="C16" s="15" t="s">
        <v>35</v>
      </c>
      <c r="D16" s="11" t="s">
        <v>9</v>
      </c>
      <c r="E16" s="11">
        <v>154.203</v>
      </c>
      <c r="F16" s="11">
        <v>22.355</v>
      </c>
      <c r="G16" s="11">
        <v>6.8979999999999997</v>
      </c>
      <c r="H16" s="11">
        <v>26.611000000000001</v>
      </c>
      <c r="I16" s="11">
        <v>7.157</v>
      </c>
      <c r="J16" s="11">
        <v>80.959199999999996</v>
      </c>
      <c r="K16" s="29"/>
      <c r="L16" s="28"/>
      <c r="M16" s="28"/>
      <c r="N16" s="28"/>
      <c r="O16" s="28"/>
      <c r="P16" s="28"/>
      <c r="Q16" s="28"/>
      <c r="R16" s="29"/>
      <c r="S16" s="29"/>
      <c r="T16" s="29"/>
      <c r="U16" s="28"/>
      <c r="V16" s="28"/>
      <c r="W16" s="30"/>
    </row>
    <row r="17" spans="1:23" ht="28.5" customHeight="1" x14ac:dyDescent="0.35">
      <c r="A17" s="14"/>
      <c r="B17" s="12"/>
      <c r="C17" s="15" t="s">
        <v>35</v>
      </c>
      <c r="D17" s="11" t="s">
        <v>10</v>
      </c>
      <c r="E17" s="11">
        <v>164.09299999999999</v>
      </c>
      <c r="F17" s="11">
        <v>27.577000000000002</v>
      </c>
      <c r="G17" s="11">
        <v>5.95</v>
      </c>
      <c r="H17" s="11">
        <v>32.981000000000002</v>
      </c>
      <c r="I17" s="11">
        <v>6.1989999999999998</v>
      </c>
      <c r="J17" s="11">
        <v>80.255099999999999</v>
      </c>
      <c r="K17" s="29"/>
      <c r="L17" s="28"/>
      <c r="M17" s="28"/>
      <c r="N17" s="28"/>
      <c r="O17" s="28"/>
      <c r="P17" s="28"/>
      <c r="Q17" s="28"/>
      <c r="R17" s="29"/>
      <c r="S17" s="29"/>
      <c r="T17" s="29"/>
      <c r="U17" s="28"/>
      <c r="V17" s="28"/>
      <c r="W17" s="30"/>
    </row>
    <row r="18" spans="1:23" ht="26.25" customHeight="1" x14ac:dyDescent="0.35">
      <c r="A18" s="14"/>
      <c r="B18" s="12"/>
      <c r="C18" s="15" t="s">
        <v>35</v>
      </c>
      <c r="D18" s="11" t="s">
        <v>11</v>
      </c>
      <c r="E18" s="11">
        <v>164.41499999999999</v>
      </c>
      <c r="F18" s="11">
        <v>27.588000000000001</v>
      </c>
      <c r="G18" s="11">
        <v>5.96</v>
      </c>
      <c r="H18" s="11">
        <v>32.972999999999999</v>
      </c>
      <c r="I18" s="11">
        <v>6.218</v>
      </c>
      <c r="J18" s="11">
        <v>80.188100000000006</v>
      </c>
      <c r="K18" s="29"/>
      <c r="L18" s="28"/>
      <c r="M18" s="28"/>
      <c r="N18" s="28"/>
      <c r="O18" s="28"/>
      <c r="P18" s="28"/>
      <c r="Q18" s="28"/>
      <c r="R18" s="29"/>
      <c r="S18" s="29"/>
      <c r="T18" s="29"/>
      <c r="U18" s="28"/>
      <c r="V18" s="28"/>
      <c r="W18" s="30"/>
    </row>
    <row r="19" spans="1:23" s="2" customFormat="1" ht="34.5" customHeight="1" x14ac:dyDescent="0.35">
      <c r="A19" s="14"/>
      <c r="B19" s="12"/>
      <c r="C19" s="15" t="s">
        <v>35</v>
      </c>
      <c r="D19" s="11" t="s">
        <v>12</v>
      </c>
      <c r="E19" s="11">
        <v>170.26300000000001</v>
      </c>
      <c r="F19" s="11">
        <v>27.602</v>
      </c>
      <c r="G19" s="11">
        <v>6.1689999999999996</v>
      </c>
      <c r="H19" s="11">
        <v>33.055</v>
      </c>
      <c r="I19" s="11">
        <v>6.4459999999999997</v>
      </c>
      <c r="J19" s="11">
        <v>79.903199999999998</v>
      </c>
      <c r="K19" s="29"/>
      <c r="L19" s="28"/>
      <c r="M19" s="28"/>
      <c r="N19" s="28"/>
      <c r="O19" s="28"/>
      <c r="P19" s="28"/>
      <c r="Q19" s="28"/>
      <c r="R19" s="29"/>
      <c r="S19" s="29"/>
      <c r="T19" s="29"/>
      <c r="U19" s="28"/>
      <c r="V19" s="28"/>
      <c r="W19" s="30"/>
    </row>
    <row r="20" spans="1:23" s="2" customFormat="1" ht="29.25" customHeight="1" x14ac:dyDescent="0.35">
      <c r="A20" s="14"/>
      <c r="B20" s="12"/>
      <c r="C20" s="15" t="s">
        <v>35</v>
      </c>
      <c r="D20" s="11" t="s">
        <v>13</v>
      </c>
      <c r="E20" s="11">
        <v>170.48</v>
      </c>
      <c r="F20" s="11">
        <v>27.611999999999998</v>
      </c>
      <c r="G20" s="11">
        <v>6.1740000000000004</v>
      </c>
      <c r="H20" s="11">
        <v>33.061</v>
      </c>
      <c r="I20" s="11">
        <v>6.4550000000000001</v>
      </c>
      <c r="J20" s="11">
        <v>79.882599999999996</v>
      </c>
      <c r="K20" s="29"/>
      <c r="L20" s="28"/>
      <c r="M20" s="28"/>
      <c r="N20" s="28"/>
      <c r="O20" s="28"/>
      <c r="P20" s="28"/>
      <c r="Q20" s="28"/>
      <c r="R20" s="29"/>
      <c r="S20" s="29"/>
      <c r="T20" s="29"/>
      <c r="U20" s="28"/>
      <c r="V20" s="28"/>
      <c r="W20" s="30"/>
    </row>
    <row r="21" spans="1:23" ht="28.5" customHeight="1" x14ac:dyDescent="0.35">
      <c r="A21" s="14"/>
      <c r="B21" s="12"/>
      <c r="C21" s="15" t="s">
        <v>35</v>
      </c>
      <c r="D21" s="11" t="s">
        <v>14</v>
      </c>
      <c r="E21" s="11">
        <v>143.40799999999999</v>
      </c>
      <c r="F21" s="11">
        <v>27.562000000000001</v>
      </c>
      <c r="G21" s="11">
        <v>5.2030000000000003</v>
      </c>
      <c r="H21" s="11">
        <v>32.845999999999997</v>
      </c>
      <c r="I21" s="11">
        <v>5.4109999999999996</v>
      </c>
      <c r="J21" s="11">
        <v>80.689499999999995</v>
      </c>
      <c r="K21" s="29"/>
      <c r="L21" s="28"/>
      <c r="M21" s="28"/>
      <c r="N21" s="28"/>
      <c r="O21" s="28"/>
      <c r="P21" s="28"/>
      <c r="Q21" s="28"/>
      <c r="R21" s="29"/>
      <c r="S21" s="29"/>
      <c r="T21" s="29"/>
      <c r="U21" s="28"/>
      <c r="V21" s="28"/>
      <c r="W21" s="30"/>
    </row>
    <row r="22" spans="1:23" ht="26.25" customHeight="1" x14ac:dyDescent="0.35">
      <c r="A22" s="14"/>
      <c r="B22" s="12"/>
      <c r="C22" s="15" t="s">
        <v>35</v>
      </c>
      <c r="D22" s="11" t="s">
        <v>15</v>
      </c>
      <c r="E22" s="11">
        <v>143.934</v>
      </c>
      <c r="F22" s="11">
        <v>27.555</v>
      </c>
      <c r="G22" s="11">
        <v>5.2229999999999999</v>
      </c>
      <c r="H22" s="11">
        <v>32.844000000000001</v>
      </c>
      <c r="I22" s="11">
        <v>5.4480000000000004</v>
      </c>
      <c r="J22" s="11">
        <v>80.439700000000002</v>
      </c>
      <c r="K22" s="29"/>
      <c r="L22" s="28"/>
      <c r="M22" s="28"/>
      <c r="N22" s="28"/>
      <c r="O22" s="28"/>
      <c r="P22" s="28"/>
      <c r="Q22" s="28"/>
      <c r="R22" s="29"/>
      <c r="S22" s="29"/>
      <c r="T22" s="29"/>
      <c r="U22" s="28"/>
      <c r="V22" s="28"/>
      <c r="W22" s="30"/>
    </row>
    <row r="23" spans="1:23" s="2" customFormat="1" ht="29.25" customHeight="1" x14ac:dyDescent="0.35">
      <c r="A23" s="14"/>
      <c r="B23" s="12"/>
      <c r="C23" s="15" t="s">
        <v>35</v>
      </c>
      <c r="D23" s="11">
        <v>90335181</v>
      </c>
      <c r="E23" s="11">
        <v>219.791</v>
      </c>
      <c r="F23" s="11">
        <v>27.632999999999999</v>
      </c>
      <c r="G23" s="11">
        <v>7.9539999999999997</v>
      </c>
      <c r="H23" s="11">
        <v>33.384</v>
      </c>
      <c r="I23" s="11">
        <v>8.3350000000000009</v>
      </c>
      <c r="J23" s="11">
        <v>78.991500000000002</v>
      </c>
      <c r="K23" s="29"/>
      <c r="L23" s="28"/>
      <c r="M23" s="28"/>
      <c r="N23" s="28"/>
      <c r="O23" s="28"/>
      <c r="P23" s="28"/>
      <c r="Q23" s="28"/>
      <c r="R23" s="29"/>
      <c r="S23" s="29"/>
      <c r="T23" s="29"/>
      <c r="U23" s="28"/>
      <c r="V23" s="28"/>
      <c r="W23" s="30"/>
    </row>
    <row r="24" spans="1:23" ht="28.5" customHeight="1" x14ac:dyDescent="0.35">
      <c r="A24" s="14"/>
      <c r="B24" s="12"/>
      <c r="C24" s="15" t="s">
        <v>35</v>
      </c>
      <c r="D24" s="11" t="s">
        <v>16</v>
      </c>
      <c r="E24" s="11">
        <v>163.899</v>
      </c>
      <c r="F24" s="11">
        <v>27.911999999999999</v>
      </c>
      <c r="G24" s="11">
        <v>5.8719999999999999</v>
      </c>
      <c r="H24" s="11">
        <v>32.957999999999998</v>
      </c>
      <c r="I24" s="11">
        <v>6.165</v>
      </c>
      <c r="J24" s="11">
        <v>80.659300000000002</v>
      </c>
      <c r="K24" s="29"/>
      <c r="L24" s="28"/>
      <c r="M24" s="28"/>
      <c r="N24" s="28"/>
      <c r="O24" s="28"/>
      <c r="P24" s="28"/>
      <c r="Q24" s="28"/>
      <c r="R24" s="29"/>
      <c r="S24" s="29"/>
      <c r="T24" s="29"/>
      <c r="U24" s="28"/>
      <c r="V24" s="28"/>
      <c r="W24" s="30"/>
    </row>
    <row r="25" spans="1:23" ht="26.25" customHeight="1" thickBot="1" x14ac:dyDescent="0.4">
      <c r="A25" s="16"/>
      <c r="B25" s="17"/>
      <c r="C25" s="15" t="s">
        <v>35</v>
      </c>
      <c r="D25" s="11" t="s">
        <v>17</v>
      </c>
      <c r="E25" s="11">
        <v>164.87100000000001</v>
      </c>
      <c r="F25" s="11">
        <v>27.832999999999998</v>
      </c>
      <c r="G25" s="11">
        <v>5.9240000000000004</v>
      </c>
      <c r="H25" s="11">
        <v>32.969000000000001</v>
      </c>
      <c r="I25" s="11">
        <v>6.1790000000000003</v>
      </c>
      <c r="J25" s="11">
        <v>80.930400000000006</v>
      </c>
      <c r="K25" s="33"/>
      <c r="L25" s="32"/>
      <c r="M25" s="32"/>
      <c r="N25" s="32"/>
      <c r="O25" s="32"/>
      <c r="P25" s="32"/>
      <c r="Q25" s="32"/>
      <c r="R25" s="33"/>
      <c r="S25" s="33"/>
      <c r="T25" s="33"/>
      <c r="U25" s="32"/>
      <c r="V25" s="32"/>
      <c r="W25" s="34"/>
    </row>
    <row r="26" spans="1:23" ht="26.25" customHeight="1" x14ac:dyDescent="0.3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</row>
    <row r="27" spans="1:23" ht="45" customHeight="1" thickBot="1" x14ac:dyDescent="0.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</row>
    <row r="28" spans="1:23" ht="60.75" customHeight="1" x14ac:dyDescent="0.35">
      <c r="A28" s="40"/>
      <c r="B28" s="41"/>
      <c r="C28" s="41"/>
      <c r="D28" s="35" t="s">
        <v>18</v>
      </c>
      <c r="E28" s="35"/>
      <c r="F28" s="35"/>
      <c r="G28" s="35"/>
      <c r="H28" s="35"/>
      <c r="I28" s="35"/>
      <c r="J28" s="35"/>
      <c r="K28" s="35" t="s">
        <v>19</v>
      </c>
      <c r="L28" s="35"/>
      <c r="M28" s="35"/>
      <c r="N28" s="35"/>
      <c r="O28" s="35" t="s">
        <v>20</v>
      </c>
      <c r="P28" s="35"/>
      <c r="Q28" s="35"/>
      <c r="R28" s="35"/>
      <c r="S28" s="35"/>
      <c r="T28" s="35"/>
      <c r="U28" s="35" t="s">
        <v>36</v>
      </c>
      <c r="V28" s="35"/>
      <c r="W28" s="39"/>
    </row>
    <row r="29" spans="1:23" s="2" customFormat="1" ht="33.75" customHeight="1" x14ac:dyDescent="0.35">
      <c r="A29" s="3" t="s">
        <v>0</v>
      </c>
      <c r="B29" s="4" t="s">
        <v>22</v>
      </c>
      <c r="C29" s="4" t="s">
        <v>23</v>
      </c>
      <c r="D29" s="4" t="s">
        <v>24</v>
      </c>
      <c r="E29" s="10" t="s">
        <v>25</v>
      </c>
      <c r="F29" s="9" t="s">
        <v>26</v>
      </c>
      <c r="G29" s="9" t="s">
        <v>27</v>
      </c>
      <c r="H29" s="9" t="s">
        <v>28</v>
      </c>
      <c r="I29" s="9" t="s">
        <v>29</v>
      </c>
      <c r="J29" s="9" t="s">
        <v>30</v>
      </c>
      <c r="K29" s="50" t="s">
        <v>31</v>
      </c>
      <c r="L29" s="50"/>
      <c r="M29" s="50"/>
      <c r="N29" s="50"/>
      <c r="O29" s="50" t="s">
        <v>32</v>
      </c>
      <c r="P29" s="50"/>
      <c r="Q29" s="50"/>
      <c r="R29" s="50" t="s">
        <v>33</v>
      </c>
      <c r="S29" s="50"/>
      <c r="T29" s="50"/>
      <c r="U29" s="50" t="s">
        <v>34</v>
      </c>
      <c r="V29" s="50"/>
      <c r="W29" s="51"/>
    </row>
    <row r="30" spans="1:23" s="2" customFormat="1" ht="34.5" customHeight="1" x14ac:dyDescent="0.35">
      <c r="A30" s="14"/>
      <c r="B30" s="12"/>
      <c r="C30" s="15" t="s">
        <v>67</v>
      </c>
      <c r="D30" s="19">
        <v>2121590</v>
      </c>
      <c r="E30" s="23">
        <v>216.59899999999999</v>
      </c>
      <c r="F30" s="23">
        <v>27.713000000000001</v>
      </c>
      <c r="G30" s="23">
        <v>7.8159999999999998</v>
      </c>
      <c r="H30" s="23">
        <v>33.35</v>
      </c>
      <c r="I30" s="23">
        <v>8.1470000000000002</v>
      </c>
      <c r="J30" s="23">
        <v>79.715599999999995</v>
      </c>
      <c r="K30" s="27"/>
      <c r="L30" s="28"/>
      <c r="M30" s="28"/>
      <c r="N30" s="28"/>
      <c r="O30" s="28"/>
      <c r="P30" s="28"/>
      <c r="Q30" s="28"/>
      <c r="R30" s="29"/>
      <c r="S30" s="29"/>
      <c r="T30" s="29"/>
      <c r="U30" s="28"/>
      <c r="V30" s="28"/>
      <c r="W30" s="30"/>
    </row>
    <row r="31" spans="1:23" s="2" customFormat="1" ht="29.25" customHeight="1" x14ac:dyDescent="0.35">
      <c r="A31" s="14"/>
      <c r="B31" s="12"/>
      <c r="C31" s="15" t="s">
        <v>67</v>
      </c>
      <c r="D31" s="19">
        <v>2121589</v>
      </c>
      <c r="E31" s="23">
        <v>216.11799999999999</v>
      </c>
      <c r="F31" s="23">
        <v>27.699000000000002</v>
      </c>
      <c r="G31" s="23">
        <v>7.8019999999999996</v>
      </c>
      <c r="H31" s="23">
        <v>33.317999999999998</v>
      </c>
      <c r="I31" s="23">
        <v>8.1419999999999995</v>
      </c>
      <c r="J31" s="23">
        <v>79.669899999999998</v>
      </c>
      <c r="K31" s="27"/>
      <c r="L31" s="28"/>
      <c r="M31" s="28"/>
      <c r="N31" s="28"/>
      <c r="O31" s="28"/>
      <c r="P31" s="28"/>
      <c r="Q31" s="28"/>
      <c r="R31" s="29"/>
      <c r="S31" s="29"/>
      <c r="T31" s="29"/>
      <c r="U31" s="28"/>
      <c r="V31" s="28"/>
      <c r="W31" s="30"/>
    </row>
    <row r="32" spans="1:23" ht="28.5" customHeight="1" x14ac:dyDescent="0.35">
      <c r="A32" s="14"/>
      <c r="B32" s="12"/>
      <c r="C32" s="15" t="s">
        <v>67</v>
      </c>
      <c r="D32" s="20" t="s">
        <v>1</v>
      </c>
      <c r="E32" s="23">
        <v>110.364</v>
      </c>
      <c r="F32" s="23">
        <v>20.847000000000001</v>
      </c>
      <c r="G32" s="23">
        <v>5.2939999999999996</v>
      </c>
      <c r="H32" s="23">
        <v>24.626000000000001</v>
      </c>
      <c r="I32" s="23">
        <v>5.5750000000000002</v>
      </c>
      <c r="J32" s="23">
        <v>80.385900000000007</v>
      </c>
      <c r="K32" s="27"/>
      <c r="L32" s="28"/>
      <c r="M32" s="28"/>
      <c r="N32" s="28"/>
      <c r="O32" s="28"/>
      <c r="P32" s="28"/>
      <c r="Q32" s="28"/>
      <c r="R32" s="29"/>
      <c r="S32" s="29"/>
      <c r="T32" s="29"/>
      <c r="U32" s="28"/>
      <c r="V32" s="28"/>
      <c r="W32" s="30"/>
    </row>
    <row r="33" spans="1:23" ht="26.25" customHeight="1" x14ac:dyDescent="0.35">
      <c r="A33" s="14"/>
      <c r="B33" s="12"/>
      <c r="C33" s="15" t="s">
        <v>67</v>
      </c>
      <c r="D33" s="20" t="s">
        <v>2</v>
      </c>
      <c r="E33" s="23">
        <v>115.533</v>
      </c>
      <c r="F33" s="23">
        <v>20.838999999999999</v>
      </c>
      <c r="G33" s="23">
        <v>5.5439999999999996</v>
      </c>
      <c r="H33" s="23">
        <v>24.667999999999999</v>
      </c>
      <c r="I33" s="23">
        <v>5.8019999999999996</v>
      </c>
      <c r="J33" s="23">
        <v>80.717500000000001</v>
      </c>
      <c r="K33" s="27"/>
      <c r="L33" s="28"/>
      <c r="M33" s="28"/>
      <c r="N33" s="28"/>
      <c r="O33" s="28"/>
      <c r="P33" s="28"/>
      <c r="Q33" s="28"/>
      <c r="R33" s="29"/>
      <c r="S33" s="29"/>
      <c r="T33" s="29"/>
      <c r="U33" s="28"/>
      <c r="V33" s="28"/>
      <c r="W33" s="30"/>
    </row>
    <row r="34" spans="1:23" s="2" customFormat="1" ht="34.5" customHeight="1" x14ac:dyDescent="0.35">
      <c r="A34" s="14"/>
      <c r="B34" s="12"/>
      <c r="C34" s="15" t="s">
        <v>67</v>
      </c>
      <c r="D34" s="19" t="s">
        <v>3</v>
      </c>
      <c r="E34" s="23">
        <v>152.10300000000001</v>
      </c>
      <c r="F34" s="23">
        <v>22.279</v>
      </c>
      <c r="G34" s="23">
        <v>6.827</v>
      </c>
      <c r="H34" s="23">
        <v>26.821999999999999</v>
      </c>
      <c r="I34" s="23">
        <v>7.1310000000000002</v>
      </c>
      <c r="J34" s="23">
        <v>79.523600000000002</v>
      </c>
      <c r="K34" s="27"/>
      <c r="L34" s="28"/>
      <c r="M34" s="28"/>
      <c r="N34" s="28"/>
      <c r="O34" s="28"/>
      <c r="P34" s="28"/>
      <c r="Q34" s="28"/>
      <c r="R34" s="29"/>
      <c r="S34" s="29"/>
      <c r="T34" s="29"/>
      <c r="U34" s="28"/>
      <c r="V34" s="28"/>
      <c r="W34" s="30"/>
    </row>
    <row r="35" spans="1:23" s="2" customFormat="1" ht="29.25" customHeight="1" x14ac:dyDescent="0.35">
      <c r="A35" s="14"/>
      <c r="B35" s="12"/>
      <c r="C35" s="15" t="s">
        <v>67</v>
      </c>
      <c r="D35" s="19" t="s">
        <v>4</v>
      </c>
      <c r="E35" s="23">
        <v>151.18</v>
      </c>
      <c r="F35" s="23">
        <v>22.355</v>
      </c>
      <c r="G35" s="23">
        <v>6.7629999999999999</v>
      </c>
      <c r="H35" s="23">
        <v>26.824000000000002</v>
      </c>
      <c r="I35" s="23">
        <v>7.0789999999999997</v>
      </c>
      <c r="J35" s="23">
        <v>79.613200000000006</v>
      </c>
      <c r="K35" s="27"/>
      <c r="L35" s="28"/>
      <c r="M35" s="28"/>
      <c r="N35" s="28"/>
      <c r="O35" s="28"/>
      <c r="P35" s="28"/>
      <c r="Q35" s="28"/>
      <c r="R35" s="29"/>
      <c r="S35" s="29"/>
      <c r="T35" s="29"/>
      <c r="U35" s="28"/>
      <c r="V35" s="28"/>
      <c r="W35" s="30"/>
    </row>
    <row r="36" spans="1:23" ht="28.5" customHeight="1" x14ac:dyDescent="0.35">
      <c r="A36" s="14"/>
      <c r="B36" s="12"/>
      <c r="C36" s="15" t="s">
        <v>67</v>
      </c>
      <c r="D36" s="20" t="s">
        <v>5</v>
      </c>
      <c r="E36" s="23">
        <v>151.244</v>
      </c>
      <c r="F36" s="23">
        <v>22.338000000000001</v>
      </c>
      <c r="G36" s="23">
        <v>6.7709999999999999</v>
      </c>
      <c r="H36" s="23">
        <v>26.815000000000001</v>
      </c>
      <c r="I36" s="23">
        <v>7.0720000000000001</v>
      </c>
      <c r="J36" s="23">
        <v>79.754599999999996</v>
      </c>
      <c r="K36" s="27"/>
      <c r="L36" s="28"/>
      <c r="M36" s="28"/>
      <c r="N36" s="28"/>
      <c r="O36" s="28"/>
      <c r="P36" s="28"/>
      <c r="Q36" s="28"/>
      <c r="R36" s="29"/>
      <c r="S36" s="29"/>
      <c r="T36" s="29"/>
      <c r="U36" s="28"/>
      <c r="V36" s="28"/>
      <c r="W36" s="30"/>
    </row>
    <row r="37" spans="1:23" ht="26.25" customHeight="1" x14ac:dyDescent="0.35">
      <c r="A37" s="14"/>
      <c r="B37" s="12"/>
      <c r="C37" s="15" t="s">
        <v>67</v>
      </c>
      <c r="D37" s="20" t="s">
        <v>7</v>
      </c>
      <c r="E37" s="23">
        <v>144.511</v>
      </c>
      <c r="F37" s="23">
        <v>22.321999999999999</v>
      </c>
      <c r="G37" s="23">
        <v>6.4740000000000002</v>
      </c>
      <c r="H37" s="23">
        <v>26.524999999999999</v>
      </c>
      <c r="I37" s="23">
        <v>6.71</v>
      </c>
      <c r="J37" s="23">
        <v>81.195700000000002</v>
      </c>
      <c r="K37" s="27"/>
      <c r="L37" s="28"/>
      <c r="M37" s="28"/>
      <c r="N37" s="28"/>
      <c r="O37" s="28"/>
      <c r="P37" s="28"/>
      <c r="Q37" s="28"/>
      <c r="R37" s="29"/>
      <c r="S37" s="29"/>
      <c r="T37" s="29"/>
      <c r="U37" s="28"/>
      <c r="V37" s="28"/>
      <c r="W37" s="30"/>
    </row>
    <row r="38" spans="1:23" s="2" customFormat="1" ht="34.5" customHeight="1" x14ac:dyDescent="0.35">
      <c r="A38" s="14"/>
      <c r="B38" s="12"/>
      <c r="C38" s="15" t="s">
        <v>67</v>
      </c>
      <c r="D38" s="20" t="s">
        <v>8</v>
      </c>
      <c r="E38" s="23">
        <v>145.02600000000001</v>
      </c>
      <c r="F38" s="23">
        <v>22.265999999999998</v>
      </c>
      <c r="G38" s="23">
        <v>6.5129999999999999</v>
      </c>
      <c r="H38" s="23">
        <v>26.562999999999999</v>
      </c>
      <c r="I38" s="23">
        <v>6.76</v>
      </c>
      <c r="J38" s="23">
        <v>80.768900000000002</v>
      </c>
      <c r="K38" s="27"/>
      <c r="L38" s="28"/>
      <c r="M38" s="28"/>
      <c r="N38" s="28"/>
      <c r="O38" s="28"/>
      <c r="P38" s="28"/>
      <c r="Q38" s="28"/>
      <c r="R38" s="29"/>
      <c r="S38" s="29"/>
      <c r="T38" s="29"/>
      <c r="U38" s="28"/>
      <c r="V38" s="28"/>
      <c r="W38" s="30"/>
    </row>
    <row r="39" spans="1:23" s="2" customFormat="1" ht="29.25" customHeight="1" x14ac:dyDescent="0.35">
      <c r="A39" s="14"/>
      <c r="B39" s="12"/>
      <c r="C39" s="15" t="s">
        <v>67</v>
      </c>
      <c r="D39" s="20" t="s">
        <v>9</v>
      </c>
      <c r="E39" s="23">
        <v>153.73099999999999</v>
      </c>
      <c r="F39" s="23">
        <v>22.302</v>
      </c>
      <c r="G39" s="23">
        <v>6.8929999999999998</v>
      </c>
      <c r="H39" s="23">
        <v>26.614000000000001</v>
      </c>
      <c r="I39" s="23">
        <v>7.1559999999999997</v>
      </c>
      <c r="J39" s="23">
        <v>80.723299999999995</v>
      </c>
      <c r="K39" s="27"/>
      <c r="L39" s="28"/>
      <c r="M39" s="28"/>
      <c r="N39" s="28"/>
      <c r="O39" s="28"/>
      <c r="P39" s="28"/>
      <c r="Q39" s="28"/>
      <c r="R39" s="29"/>
      <c r="S39" s="29"/>
      <c r="T39" s="29"/>
      <c r="U39" s="28"/>
      <c r="V39" s="28"/>
      <c r="W39" s="30"/>
    </row>
    <row r="40" spans="1:23" ht="28.5" customHeight="1" x14ac:dyDescent="0.35">
      <c r="A40" s="14"/>
      <c r="B40" s="12"/>
      <c r="C40" s="15" t="s">
        <v>67</v>
      </c>
      <c r="D40" s="20" t="s">
        <v>10</v>
      </c>
      <c r="E40" s="23">
        <v>162.85</v>
      </c>
      <c r="F40" s="23">
        <v>27.454000000000001</v>
      </c>
      <c r="G40" s="23">
        <v>5.9320000000000004</v>
      </c>
      <c r="H40" s="23">
        <v>32.996000000000002</v>
      </c>
      <c r="I40" s="23">
        <v>6.1820000000000004</v>
      </c>
      <c r="J40" s="23">
        <v>79.828999999999994</v>
      </c>
      <c r="K40" s="27"/>
      <c r="L40" s="28"/>
      <c r="M40" s="28"/>
      <c r="N40" s="28"/>
      <c r="O40" s="28"/>
      <c r="P40" s="28"/>
      <c r="Q40" s="28"/>
      <c r="R40" s="29"/>
      <c r="S40" s="29"/>
      <c r="T40" s="29"/>
      <c r="U40" s="28"/>
      <c r="V40" s="28"/>
      <c r="W40" s="30"/>
    </row>
    <row r="41" spans="1:23" ht="26.25" customHeight="1" x14ac:dyDescent="0.35">
      <c r="A41" s="14"/>
      <c r="B41" s="12"/>
      <c r="C41" s="15" t="s">
        <v>67</v>
      </c>
      <c r="D41" s="20" t="s">
        <v>11</v>
      </c>
      <c r="E41" s="23">
        <v>162.91300000000001</v>
      </c>
      <c r="F41" s="23">
        <v>27.452999999999999</v>
      </c>
      <c r="G41" s="23">
        <v>5.9340000000000002</v>
      </c>
      <c r="H41" s="23">
        <v>32.984000000000002</v>
      </c>
      <c r="I41" s="23">
        <v>6.1970000000000001</v>
      </c>
      <c r="J41" s="23">
        <v>79.698999999999998</v>
      </c>
      <c r="K41" s="27"/>
      <c r="L41" s="28"/>
      <c r="M41" s="28"/>
      <c r="N41" s="28"/>
      <c r="O41" s="28"/>
      <c r="P41" s="28"/>
      <c r="Q41" s="28"/>
      <c r="R41" s="29"/>
      <c r="S41" s="29"/>
      <c r="T41" s="29"/>
      <c r="U41" s="28"/>
      <c r="V41" s="28"/>
      <c r="W41" s="30"/>
    </row>
    <row r="42" spans="1:23" s="2" customFormat="1" ht="34.5" customHeight="1" x14ac:dyDescent="0.35">
      <c r="A42" s="14"/>
      <c r="B42" s="12"/>
      <c r="C42" s="15" t="s">
        <v>67</v>
      </c>
      <c r="D42" s="20" t="s">
        <v>12</v>
      </c>
      <c r="E42" s="23">
        <v>168.73</v>
      </c>
      <c r="F42" s="23">
        <v>27.45</v>
      </c>
      <c r="G42" s="23">
        <v>6.1470000000000002</v>
      </c>
      <c r="H42" s="23">
        <v>33.052999999999997</v>
      </c>
      <c r="I42" s="23">
        <v>6.4290000000000003</v>
      </c>
      <c r="J42" s="23">
        <v>79.398200000000003</v>
      </c>
      <c r="K42" s="27"/>
      <c r="L42" s="28"/>
      <c r="M42" s="28"/>
      <c r="N42" s="28"/>
      <c r="O42" s="28"/>
      <c r="P42" s="28"/>
      <c r="Q42" s="28"/>
      <c r="R42" s="29"/>
      <c r="S42" s="29"/>
      <c r="T42" s="29"/>
      <c r="U42" s="28"/>
      <c r="V42" s="28"/>
      <c r="W42" s="30"/>
    </row>
    <row r="43" spans="1:23" s="2" customFormat="1" ht="29.25" customHeight="1" x14ac:dyDescent="0.35">
      <c r="A43" s="14"/>
      <c r="B43" s="12"/>
      <c r="C43" s="15" t="s">
        <v>67</v>
      </c>
      <c r="D43" s="20" t="s">
        <v>13</v>
      </c>
      <c r="E43" s="23">
        <v>168.86600000000001</v>
      </c>
      <c r="F43" s="23">
        <v>27.431000000000001</v>
      </c>
      <c r="G43" s="23">
        <v>6.1559999999999997</v>
      </c>
      <c r="H43" s="23">
        <v>33.014000000000003</v>
      </c>
      <c r="I43" s="23">
        <v>6.4160000000000004</v>
      </c>
      <c r="J43" s="23">
        <v>79.725899999999996</v>
      </c>
      <c r="K43" s="27"/>
      <c r="L43" s="28"/>
      <c r="M43" s="28"/>
      <c r="N43" s="28"/>
      <c r="O43" s="28"/>
      <c r="P43" s="28"/>
      <c r="Q43" s="28"/>
      <c r="R43" s="29"/>
      <c r="S43" s="29"/>
      <c r="T43" s="29"/>
      <c r="U43" s="28"/>
      <c r="V43" s="28"/>
      <c r="W43" s="30"/>
    </row>
    <row r="44" spans="1:23" ht="28.5" customHeight="1" x14ac:dyDescent="0.35">
      <c r="A44" s="14"/>
      <c r="B44" s="12"/>
      <c r="C44" s="15" t="s">
        <v>67</v>
      </c>
      <c r="D44" s="20" t="s">
        <v>14</v>
      </c>
      <c r="E44" s="23">
        <v>142.36600000000001</v>
      </c>
      <c r="F44" s="23">
        <v>27.507999999999999</v>
      </c>
      <c r="G44" s="23">
        <v>5.1749999999999998</v>
      </c>
      <c r="H44" s="23">
        <v>32.843000000000004</v>
      </c>
      <c r="I44" s="23">
        <v>5.415</v>
      </c>
      <c r="J44" s="23">
        <v>80.055899999999994</v>
      </c>
      <c r="K44" s="27"/>
      <c r="L44" s="28"/>
      <c r="M44" s="28"/>
      <c r="N44" s="28"/>
      <c r="O44" s="28"/>
      <c r="P44" s="28"/>
      <c r="Q44" s="28"/>
      <c r="R44" s="29"/>
      <c r="S44" s="29"/>
      <c r="T44" s="29"/>
      <c r="U44" s="28"/>
      <c r="V44" s="28"/>
      <c r="W44" s="30"/>
    </row>
    <row r="45" spans="1:23" ht="26.25" customHeight="1" x14ac:dyDescent="0.35">
      <c r="A45" s="14"/>
      <c r="B45" s="12"/>
      <c r="C45" s="15" t="s">
        <v>67</v>
      </c>
      <c r="D45" s="20" t="s">
        <v>15</v>
      </c>
      <c r="E45" s="23">
        <v>142.66300000000001</v>
      </c>
      <c r="F45" s="23">
        <v>27.44</v>
      </c>
      <c r="G45" s="23">
        <v>5.1989999999999998</v>
      </c>
      <c r="H45" s="23">
        <v>32.844999999999999</v>
      </c>
      <c r="I45" s="23">
        <v>5.4139999999999997</v>
      </c>
      <c r="J45" s="23">
        <v>80.234300000000005</v>
      </c>
      <c r="K45" s="27"/>
      <c r="L45" s="28"/>
      <c r="M45" s="28"/>
      <c r="N45" s="28"/>
      <c r="O45" s="28"/>
      <c r="P45" s="28"/>
      <c r="Q45" s="28"/>
      <c r="R45" s="29"/>
      <c r="S45" s="29"/>
      <c r="T45" s="29"/>
      <c r="U45" s="28"/>
      <c r="V45" s="28"/>
      <c r="W45" s="30"/>
    </row>
    <row r="46" spans="1:23" s="2" customFormat="1" ht="29.25" customHeight="1" x14ac:dyDescent="0.35">
      <c r="A46" s="14"/>
      <c r="B46" s="12"/>
      <c r="C46" s="15" t="s">
        <v>67</v>
      </c>
      <c r="D46" s="21">
        <v>90335181</v>
      </c>
      <c r="E46" s="23">
        <v>219.381</v>
      </c>
      <c r="F46" s="23">
        <v>27.5</v>
      </c>
      <c r="G46" s="23">
        <v>7.9779999999999998</v>
      </c>
      <c r="H46" s="23">
        <v>33.378</v>
      </c>
      <c r="I46" s="23">
        <v>8.3610000000000007</v>
      </c>
      <c r="J46" s="23">
        <v>78.615099999999998</v>
      </c>
      <c r="K46" s="27"/>
      <c r="L46" s="28"/>
      <c r="M46" s="28"/>
      <c r="N46" s="28"/>
      <c r="O46" s="28"/>
      <c r="P46" s="28"/>
      <c r="Q46" s="28"/>
      <c r="R46" s="29"/>
      <c r="S46" s="29"/>
      <c r="T46" s="29"/>
      <c r="U46" s="28"/>
      <c r="V46" s="28"/>
      <c r="W46" s="30"/>
    </row>
    <row r="47" spans="1:23" ht="28.5" customHeight="1" x14ac:dyDescent="0.35">
      <c r="A47" s="14"/>
      <c r="B47" s="12"/>
      <c r="C47" s="15" t="s">
        <v>67</v>
      </c>
      <c r="D47" s="20" t="s">
        <v>16</v>
      </c>
      <c r="E47" s="23">
        <v>162.255</v>
      </c>
      <c r="F47" s="23">
        <v>27.91</v>
      </c>
      <c r="G47" s="23">
        <v>5.8140000000000001</v>
      </c>
      <c r="H47" s="23">
        <v>32.953000000000003</v>
      </c>
      <c r="I47" s="23">
        <v>6.1559999999999997</v>
      </c>
      <c r="J47" s="23">
        <v>79.988699999999994</v>
      </c>
      <c r="K47" s="27"/>
      <c r="L47" s="28"/>
      <c r="M47" s="28"/>
      <c r="N47" s="28"/>
      <c r="O47" s="28"/>
      <c r="P47" s="28"/>
      <c r="Q47" s="28"/>
      <c r="R47" s="29"/>
      <c r="S47" s="29"/>
      <c r="T47" s="29"/>
      <c r="U47" s="28"/>
      <c r="V47" s="28"/>
      <c r="W47" s="30"/>
    </row>
    <row r="48" spans="1:23" ht="26.25" customHeight="1" thickBot="1" x14ac:dyDescent="0.4">
      <c r="A48" s="16"/>
      <c r="B48" s="17"/>
      <c r="C48" s="15" t="s">
        <v>67</v>
      </c>
      <c r="D48" s="22" t="s">
        <v>17</v>
      </c>
      <c r="E48" s="23">
        <v>163.386</v>
      </c>
      <c r="F48" s="23">
        <v>27.815999999999999</v>
      </c>
      <c r="G48" s="23">
        <v>5.8739999999999997</v>
      </c>
      <c r="H48" s="23">
        <v>32.951999999999998</v>
      </c>
      <c r="I48" s="23">
        <v>6.1529999999999996</v>
      </c>
      <c r="J48" s="23">
        <v>80.585400000000007</v>
      </c>
      <c r="K48" s="31"/>
      <c r="L48" s="32"/>
      <c r="M48" s="32"/>
      <c r="N48" s="32"/>
      <c r="O48" s="32"/>
      <c r="P48" s="32"/>
      <c r="Q48" s="32"/>
      <c r="R48" s="33"/>
      <c r="S48" s="33"/>
      <c r="T48" s="33"/>
      <c r="U48" s="32"/>
      <c r="V48" s="32"/>
      <c r="W48" s="34"/>
    </row>
    <row r="49" spans="1:23" ht="59.25" customHeight="1" thickBot="1" x14ac:dyDescent="0.4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</row>
    <row r="52" spans="1:23" ht="58.5" customHeight="1" x14ac:dyDescent="0.35">
      <c r="D52" s="42" t="s">
        <v>37</v>
      </c>
      <c r="E52" s="43"/>
      <c r="F52" s="43"/>
      <c r="G52" s="43"/>
      <c r="H52" s="43"/>
      <c r="I52" s="43"/>
      <c r="J52" s="43"/>
      <c r="K52" s="44"/>
    </row>
    <row r="53" spans="1:23" ht="38.25" customHeight="1" x14ac:dyDescent="0.35">
      <c r="D53" s="3" t="s">
        <v>24</v>
      </c>
      <c r="E53" s="5" t="s">
        <v>25</v>
      </c>
      <c r="F53" s="4" t="s">
        <v>26</v>
      </c>
      <c r="G53" s="4" t="s">
        <v>27</v>
      </c>
      <c r="H53" s="4" t="s">
        <v>28</v>
      </c>
      <c r="I53" s="4" t="s">
        <v>29</v>
      </c>
      <c r="J53" s="5" t="s">
        <v>38</v>
      </c>
      <c r="K53" s="7" t="s">
        <v>31</v>
      </c>
    </row>
    <row r="54" spans="1:23" x14ac:dyDescent="0.35">
      <c r="D54" s="18">
        <f t="shared" ref="D54:D72" si="0">D7</f>
        <v>2121590</v>
      </c>
      <c r="E54" s="8">
        <f t="shared" ref="E54:J63" si="1">(E30-E7)/E7</f>
        <v>1.584271718076543E-2</v>
      </c>
      <c r="F54" s="8">
        <f t="shared" si="1"/>
        <v>1.2283680768814796E-3</v>
      </c>
      <c r="G54" s="8">
        <f t="shared" si="1"/>
        <v>1.4669609243151959E-2</v>
      </c>
      <c r="H54" s="8">
        <f t="shared" si="1"/>
        <v>3.3998254956825085E-3</v>
      </c>
      <c r="I54" s="6">
        <f t="shared" si="1"/>
        <v>7.9178522825683606E-3</v>
      </c>
      <c r="J54" s="8">
        <f t="shared" si="1"/>
        <v>4.4302202509952943E-3</v>
      </c>
      <c r="K54" s="24" t="s">
        <v>39</v>
      </c>
      <c r="L54" s="1"/>
      <c r="M54" s="1"/>
      <c r="N54" s="1"/>
    </row>
    <row r="55" spans="1:23" x14ac:dyDescent="0.35">
      <c r="D55" s="18">
        <f t="shared" si="0"/>
        <v>2121589</v>
      </c>
      <c r="E55" s="8">
        <f t="shared" si="1"/>
        <v>1.362962685027112E-2</v>
      </c>
      <c r="F55" s="8">
        <f t="shared" si="1"/>
        <v>-5.7730470864146631E-4</v>
      </c>
      <c r="G55" s="8">
        <f t="shared" si="1"/>
        <v>1.416872481476667E-2</v>
      </c>
      <c r="H55" s="8">
        <f t="shared" si="1"/>
        <v>2.1355310253556095E-3</v>
      </c>
      <c r="I55" s="6">
        <f t="shared" si="1"/>
        <v>9.2971364819634666E-3</v>
      </c>
      <c r="J55" s="8">
        <f t="shared" si="1"/>
        <v>2.2089634099552152E-3</v>
      </c>
      <c r="K55" s="24" t="s">
        <v>39</v>
      </c>
      <c r="L55" s="1"/>
      <c r="M55" s="1"/>
      <c r="N55" s="1"/>
    </row>
    <row r="56" spans="1:23" x14ac:dyDescent="0.35">
      <c r="D56" s="18" t="str">
        <f t="shared" si="0"/>
        <v>FuE 1069</v>
      </c>
      <c r="E56" s="8">
        <f t="shared" si="1"/>
        <v>8.7968295138172265E-4</v>
      </c>
      <c r="F56" s="8">
        <f t="shared" si="1"/>
        <v>-2.8772838440513246E-4</v>
      </c>
      <c r="G56" s="8">
        <f t="shared" si="1"/>
        <v>1.134644478063415E-3</v>
      </c>
      <c r="H56" s="8">
        <f t="shared" si="1"/>
        <v>8.5348506401141213E-4</v>
      </c>
      <c r="I56" s="6">
        <f t="shared" si="1"/>
        <v>-1.2540308133284976E-3</v>
      </c>
      <c r="J56" s="8">
        <f t="shared" si="1"/>
        <v>1.2181132695879781E-3</v>
      </c>
      <c r="K56" s="24" t="s">
        <v>39</v>
      </c>
      <c r="L56" s="1"/>
      <c r="M56" s="1"/>
      <c r="N56" s="1"/>
    </row>
    <row r="57" spans="1:23" x14ac:dyDescent="0.35">
      <c r="D57" s="18" t="str">
        <f t="shared" si="0"/>
        <v>FuE 1071</v>
      </c>
      <c r="E57" s="8">
        <f t="shared" si="1"/>
        <v>5.2826659276713876E-4</v>
      </c>
      <c r="F57" s="8">
        <f t="shared" si="1"/>
        <v>-1.9636015325670674E-3</v>
      </c>
      <c r="G57" s="8">
        <f t="shared" si="1"/>
        <v>2.5316455696201348E-3</v>
      </c>
      <c r="H57" s="8">
        <f t="shared" si="1"/>
        <v>-2.4317094917728085E-4</v>
      </c>
      <c r="I57" s="6">
        <f t="shared" si="1"/>
        <v>5.1733057423680381E-4</v>
      </c>
      <c r="J57" s="8">
        <f t="shared" si="1"/>
        <v>1.6727795400485254E-4</v>
      </c>
      <c r="K57" s="24" t="s">
        <v>39</v>
      </c>
      <c r="L57" s="1"/>
      <c r="M57" s="1"/>
      <c r="N57" s="1"/>
    </row>
    <row r="58" spans="1:23" x14ac:dyDescent="0.35">
      <c r="D58" s="18" t="str">
        <f t="shared" si="0"/>
        <v>FuE 943</v>
      </c>
      <c r="E58" s="8">
        <f t="shared" si="1"/>
        <v>1.0369199293220544E-2</v>
      </c>
      <c r="F58" s="8">
        <f t="shared" si="1"/>
        <v>-2.7751667338078495E-3</v>
      </c>
      <c r="G58" s="8">
        <f t="shared" si="1"/>
        <v>1.3208667260314562E-2</v>
      </c>
      <c r="H58" s="8">
        <f t="shared" si="1"/>
        <v>3.9676598293156944E-3</v>
      </c>
      <c r="I58" s="6">
        <f t="shared" si="1"/>
        <v>1.1489361702127717E-2</v>
      </c>
      <c r="J58" s="8">
        <f t="shared" si="1"/>
        <v>-5.0346570577784458E-3</v>
      </c>
      <c r="K58" s="24" t="s">
        <v>39</v>
      </c>
    </row>
    <row r="59" spans="1:23" x14ac:dyDescent="0.35">
      <c r="D59" s="18" t="str">
        <f t="shared" si="0"/>
        <v>FuE 944</v>
      </c>
      <c r="E59" s="8">
        <f t="shared" si="1"/>
        <v>-8.5452148764124346E-3</v>
      </c>
      <c r="F59" s="8">
        <f t="shared" si="1"/>
        <v>-5.2950075642965106E-3</v>
      </c>
      <c r="G59" s="8">
        <f t="shared" si="1"/>
        <v>-3.2424465733235431E-3</v>
      </c>
      <c r="H59" s="8">
        <f t="shared" si="1"/>
        <v>-4.8440585758460796E-4</v>
      </c>
      <c r="I59" s="6">
        <f t="shared" si="1"/>
        <v>-1.6922859963334443E-3</v>
      </c>
      <c r="J59" s="8">
        <f t="shared" si="1"/>
        <v>-6.4854760029900357E-3</v>
      </c>
      <c r="K59" s="24" t="s">
        <v>39</v>
      </c>
    </row>
    <row r="60" spans="1:23" x14ac:dyDescent="0.35">
      <c r="D60" s="18" t="str">
        <f t="shared" si="0"/>
        <v>FuE 945</v>
      </c>
      <c r="E60" s="8">
        <f t="shared" si="1"/>
        <v>-1.2180864612792252E-2</v>
      </c>
      <c r="F60" s="8">
        <f t="shared" si="1"/>
        <v>-6.1840993015081789E-3</v>
      </c>
      <c r="G60" s="8">
        <f t="shared" si="1"/>
        <v>-6.018790369935462E-3</v>
      </c>
      <c r="H60" s="8">
        <f t="shared" si="1"/>
        <v>-5.2182340005215799E-4</v>
      </c>
      <c r="I60" s="6">
        <f t="shared" si="1"/>
        <v>-7.5778838057816824E-3</v>
      </c>
      <c r="J60" s="8">
        <f t="shared" si="1"/>
        <v>-4.0746295308869323E-3</v>
      </c>
      <c r="K60" s="24" t="s">
        <v>39</v>
      </c>
    </row>
    <row r="61" spans="1:23" x14ac:dyDescent="0.35">
      <c r="D61" s="18" t="str">
        <f t="shared" si="0"/>
        <v>FuE 977</v>
      </c>
      <c r="E61" s="8">
        <f t="shared" si="1"/>
        <v>4.6649054505005019E-3</v>
      </c>
      <c r="F61" s="8">
        <f t="shared" si="1"/>
        <v>-7.1626824245688025E-4</v>
      </c>
      <c r="G61" s="8">
        <f t="shared" si="1"/>
        <v>5.4356266501009694E-3</v>
      </c>
      <c r="H61" s="8">
        <f t="shared" si="1"/>
        <v>2.456538170823799E-3</v>
      </c>
      <c r="I61" s="6">
        <f t="shared" si="1"/>
        <v>5.5447325041210731E-3</v>
      </c>
      <c r="J61" s="8">
        <f t="shared" si="1"/>
        <v>-3.3228423006293499E-3</v>
      </c>
      <c r="K61" s="24" t="s">
        <v>39</v>
      </c>
    </row>
    <row r="62" spans="1:23" x14ac:dyDescent="0.35">
      <c r="D62" s="18" t="str">
        <f t="shared" si="0"/>
        <v>FuE 978</v>
      </c>
      <c r="E62" s="8">
        <f t="shared" si="1"/>
        <v>-1.1089147099947057E-3</v>
      </c>
      <c r="F62" s="8">
        <f t="shared" si="1"/>
        <v>-6.2836624775596493E-4</v>
      </c>
      <c r="G62" s="8">
        <f t="shared" si="1"/>
        <v>-4.604051565377707E-4</v>
      </c>
      <c r="H62" s="8">
        <f t="shared" si="1"/>
        <v>1.0929373633828264E-3</v>
      </c>
      <c r="I62" s="6">
        <f t="shared" si="1"/>
        <v>-4.4182621502209495E-3</v>
      </c>
      <c r="J62" s="8">
        <f t="shared" si="1"/>
        <v>2.3106696598649522E-3</v>
      </c>
      <c r="K62" s="24" t="s">
        <v>39</v>
      </c>
    </row>
    <row r="63" spans="1:23" x14ac:dyDescent="0.35">
      <c r="D63" s="18" t="str">
        <f t="shared" si="0"/>
        <v>FuE 979</v>
      </c>
      <c r="E63" s="8">
        <f t="shared" si="1"/>
        <v>-3.0609002418889933E-3</v>
      </c>
      <c r="F63" s="8">
        <f t="shared" si="1"/>
        <v>-2.3708342652650782E-3</v>
      </c>
      <c r="G63" s="8">
        <f t="shared" si="1"/>
        <v>-7.2484778196577179E-4</v>
      </c>
      <c r="H63" s="8">
        <f t="shared" si="1"/>
        <v>1.1273533501184148E-4</v>
      </c>
      <c r="I63" s="6">
        <f t="shared" si="1"/>
        <v>-1.3972334777145927E-4</v>
      </c>
      <c r="J63" s="8">
        <f t="shared" si="1"/>
        <v>-2.9138133776025568E-3</v>
      </c>
      <c r="K63" s="24" t="s">
        <v>39</v>
      </c>
    </row>
    <row r="64" spans="1:23" x14ac:dyDescent="0.35">
      <c r="D64" s="18" t="str">
        <f t="shared" si="0"/>
        <v>FuE 1109</v>
      </c>
      <c r="E64" s="8">
        <f t="shared" ref="E64:J73" si="2">(E40-E17)/E17</f>
        <v>-7.5749727288793251E-3</v>
      </c>
      <c r="F64" s="8">
        <f t="shared" si="2"/>
        <v>-4.4602386046343366E-3</v>
      </c>
      <c r="G64" s="8">
        <f t="shared" si="2"/>
        <v>-3.0252100840335787E-3</v>
      </c>
      <c r="H64" s="8">
        <f t="shared" si="2"/>
        <v>4.5480731330161512E-4</v>
      </c>
      <c r="I64" s="6">
        <f t="shared" si="2"/>
        <v>-2.7423778028713439E-3</v>
      </c>
      <c r="J64" s="8">
        <f t="shared" si="2"/>
        <v>-5.3093199061493316E-3</v>
      </c>
      <c r="K64" s="24" t="s">
        <v>39</v>
      </c>
    </row>
    <row r="65" spans="4:11" x14ac:dyDescent="0.35">
      <c r="D65" s="18" t="str">
        <f t="shared" si="0"/>
        <v>FuE 1110</v>
      </c>
      <c r="E65" s="8">
        <f t="shared" si="2"/>
        <v>-9.1354195176837957E-3</v>
      </c>
      <c r="F65" s="8">
        <f t="shared" si="2"/>
        <v>-4.8934319269248062E-3</v>
      </c>
      <c r="G65" s="8">
        <f t="shared" si="2"/>
        <v>-4.362416107382517E-3</v>
      </c>
      <c r="H65" s="8">
        <f t="shared" si="2"/>
        <v>3.3360628392935997E-4</v>
      </c>
      <c r="I65" s="6">
        <f t="shared" si="2"/>
        <v>-3.3772917336764084E-3</v>
      </c>
      <c r="J65" s="8">
        <f t="shared" si="2"/>
        <v>-6.099408765141057E-3</v>
      </c>
      <c r="K65" s="24" t="s">
        <v>39</v>
      </c>
    </row>
    <row r="66" spans="4:11" x14ac:dyDescent="0.35">
      <c r="D66" s="18" t="str">
        <f t="shared" si="0"/>
        <v>FuE 1111</v>
      </c>
      <c r="E66" s="8">
        <f t="shared" si="2"/>
        <v>-9.0037177777909198E-3</v>
      </c>
      <c r="F66" s="8">
        <f t="shared" si="2"/>
        <v>-5.5068473299036674E-3</v>
      </c>
      <c r="G66" s="8">
        <f t="shared" si="2"/>
        <v>-3.5662181877126526E-3</v>
      </c>
      <c r="H66" s="8">
        <f t="shared" si="2"/>
        <v>-6.050521857517605E-5</v>
      </c>
      <c r="I66" s="6">
        <f t="shared" si="2"/>
        <v>-2.6372944461680826E-3</v>
      </c>
      <c r="J66" s="8">
        <f t="shared" si="2"/>
        <v>-6.3201473783277198E-3</v>
      </c>
      <c r="K66" s="24" t="s">
        <v>39</v>
      </c>
    </row>
    <row r="67" spans="4:11" x14ac:dyDescent="0.35">
      <c r="D67" s="18" t="str">
        <f t="shared" si="0"/>
        <v>FuE 1112</v>
      </c>
      <c r="E67" s="8">
        <f t="shared" si="2"/>
        <v>-9.4673862036601126E-3</v>
      </c>
      <c r="F67" s="8">
        <f t="shared" si="2"/>
        <v>-6.5551209619005282E-3</v>
      </c>
      <c r="G67" s="8">
        <f t="shared" si="2"/>
        <v>-2.9154518950438419E-3</v>
      </c>
      <c r="H67" s="8">
        <f t="shared" si="2"/>
        <v>-1.4216145912100979E-3</v>
      </c>
      <c r="I67" s="6">
        <f t="shared" si="2"/>
        <v>-6.0418280402788072E-3</v>
      </c>
      <c r="J67" s="8">
        <f t="shared" si="2"/>
        <v>-1.9616286901027349E-3</v>
      </c>
      <c r="K67" s="24" t="s">
        <v>39</v>
      </c>
    </row>
    <row r="68" spans="4:11" x14ac:dyDescent="0.35">
      <c r="D68" s="18" t="str">
        <f t="shared" si="0"/>
        <v>FuE 1154</v>
      </c>
      <c r="E68" s="8">
        <f t="shared" si="2"/>
        <v>-7.2659823719734831E-3</v>
      </c>
      <c r="F68" s="8">
        <f t="shared" si="2"/>
        <v>-1.9592192148611149E-3</v>
      </c>
      <c r="G68" s="8">
        <f t="shared" si="2"/>
        <v>-5.3815106669230185E-3</v>
      </c>
      <c r="H68" s="8">
        <f t="shared" si="2"/>
        <v>-9.1335322413475264E-5</v>
      </c>
      <c r="I68" s="6">
        <f t="shared" si="2"/>
        <v>7.3923489188697981E-4</v>
      </c>
      <c r="J68" s="8">
        <f t="shared" si="2"/>
        <v>-7.8523227929284643E-3</v>
      </c>
      <c r="K68" s="24" t="s">
        <v>39</v>
      </c>
    </row>
    <row r="69" spans="4:11" x14ac:dyDescent="0.35">
      <c r="D69" s="18" t="str">
        <f t="shared" si="0"/>
        <v>FuE 1114</v>
      </c>
      <c r="E69" s="8">
        <f t="shared" si="2"/>
        <v>-8.8304361721343577E-3</v>
      </c>
      <c r="F69" s="8">
        <f t="shared" si="2"/>
        <v>-4.1734712393394465E-3</v>
      </c>
      <c r="G69" s="8">
        <f t="shared" si="2"/>
        <v>-4.5950603101665754E-3</v>
      </c>
      <c r="H69" s="8">
        <f t="shared" si="2"/>
        <v>3.0446961393181993E-5</v>
      </c>
      <c r="I69" s="6">
        <f t="shared" si="2"/>
        <v>-6.2408223201176017E-3</v>
      </c>
      <c r="J69" s="8">
        <f t="shared" si="2"/>
        <v>-2.5534655151622566E-3</v>
      </c>
      <c r="K69" s="24" t="s">
        <v>39</v>
      </c>
    </row>
    <row r="70" spans="4:11" x14ac:dyDescent="0.35">
      <c r="D70" s="18">
        <f t="shared" si="0"/>
        <v>90335181</v>
      </c>
      <c r="E70" s="8">
        <f t="shared" si="2"/>
        <v>-1.8654085017129755E-3</v>
      </c>
      <c r="F70" s="8">
        <f t="shared" si="2"/>
        <v>-4.8130858032062792E-3</v>
      </c>
      <c r="G70" s="8">
        <f t="shared" si="2"/>
        <v>3.0173497611264799E-3</v>
      </c>
      <c r="H70" s="8">
        <f t="shared" si="2"/>
        <v>-1.7972681524084074E-4</v>
      </c>
      <c r="I70" s="6">
        <f t="shared" si="2"/>
        <v>3.1193761247750207E-3</v>
      </c>
      <c r="J70" s="8">
        <f t="shared" si="2"/>
        <v>-4.7650696593937811E-3</v>
      </c>
      <c r="K70" s="24" t="s">
        <v>39</v>
      </c>
    </row>
    <row r="71" spans="4:11" x14ac:dyDescent="0.35">
      <c r="D71" s="18" t="str">
        <f t="shared" si="0"/>
        <v>FuE 1116</v>
      </c>
      <c r="E71" s="8">
        <f t="shared" si="2"/>
        <v>-1.0030567605659617E-2</v>
      </c>
      <c r="F71" s="8">
        <f t="shared" si="2"/>
        <v>-7.1653768988209075E-5</v>
      </c>
      <c r="G71" s="8">
        <f t="shared" si="2"/>
        <v>-9.8773841961852567E-3</v>
      </c>
      <c r="H71" s="8">
        <f t="shared" si="2"/>
        <v>-1.517082347228428E-4</v>
      </c>
      <c r="I71" s="6">
        <f t="shared" si="2"/>
        <v>-1.4598540145985956E-3</v>
      </c>
      <c r="J71" s="8">
        <f t="shared" si="2"/>
        <v>-8.3139823926070191E-3</v>
      </c>
      <c r="K71" s="24" t="s">
        <v>39</v>
      </c>
    </row>
    <row r="72" spans="4:11" x14ac:dyDescent="0.35">
      <c r="D72" s="18" t="str">
        <f t="shared" si="0"/>
        <v>FuE 1118</v>
      </c>
      <c r="E72" s="8">
        <f t="shared" si="2"/>
        <v>-9.0070418690977403E-3</v>
      </c>
      <c r="F72" s="8">
        <f t="shared" si="2"/>
        <v>-6.1078575791324906E-4</v>
      </c>
      <c r="G72" s="8">
        <f t="shared" si="2"/>
        <v>-8.4402430790007938E-3</v>
      </c>
      <c r="H72" s="8">
        <f t="shared" si="2"/>
        <v>-5.1563590039136798E-4</v>
      </c>
      <c r="I72" s="6">
        <f t="shared" si="2"/>
        <v>-4.2078006149863555E-3</v>
      </c>
      <c r="J72" s="8">
        <f t="shared" si="2"/>
        <v>-4.2629222146436793E-3</v>
      </c>
      <c r="K72" s="24" t="s">
        <v>39</v>
      </c>
    </row>
  </sheetData>
  <mergeCells count="173">
    <mergeCell ref="A49:W49"/>
    <mergeCell ref="A26:W27"/>
    <mergeCell ref="U28:W28"/>
    <mergeCell ref="A28:C28"/>
    <mergeCell ref="D52:K52"/>
    <mergeCell ref="D5:J5"/>
    <mergeCell ref="K5:N5"/>
    <mergeCell ref="O5:T5"/>
    <mergeCell ref="U5:W5"/>
    <mergeCell ref="A5:C5"/>
    <mergeCell ref="R29:T29"/>
    <mergeCell ref="U29:W29"/>
    <mergeCell ref="K21:N21"/>
    <mergeCell ref="K22:N22"/>
    <mergeCell ref="O21:Q21"/>
    <mergeCell ref="O22:Q22"/>
    <mergeCell ref="R21:T21"/>
    <mergeCell ref="R22:T22"/>
    <mergeCell ref="U21:W21"/>
    <mergeCell ref="U22:W22"/>
    <mergeCell ref="K29:N29"/>
    <mergeCell ref="O29:Q29"/>
    <mergeCell ref="K24:N24"/>
    <mergeCell ref="O24:Q24"/>
    <mergeCell ref="R24:T24"/>
    <mergeCell ref="U24:W24"/>
    <mergeCell ref="D28:J28"/>
    <mergeCell ref="K28:N28"/>
    <mergeCell ref="O28:T28"/>
    <mergeCell ref="K6:N6"/>
    <mergeCell ref="O6:Q6"/>
    <mergeCell ref="R6:T6"/>
    <mergeCell ref="U6:W6"/>
    <mergeCell ref="R20:T20"/>
    <mergeCell ref="U19:W19"/>
    <mergeCell ref="U20:W20"/>
    <mergeCell ref="K19:N19"/>
    <mergeCell ref="K20:N20"/>
    <mergeCell ref="O19:Q19"/>
    <mergeCell ref="O20:Q20"/>
    <mergeCell ref="R19:T19"/>
    <mergeCell ref="K15:N15"/>
    <mergeCell ref="O15:Q15"/>
    <mergeCell ref="R15:T15"/>
    <mergeCell ref="U15:W15"/>
    <mergeCell ref="K7:N7"/>
    <mergeCell ref="O7:Q7"/>
    <mergeCell ref="R7:T7"/>
    <mergeCell ref="U7:W7"/>
    <mergeCell ref="K8:N8"/>
    <mergeCell ref="O8:Q8"/>
    <mergeCell ref="R8:T8"/>
    <mergeCell ref="U8:W8"/>
    <mergeCell ref="K9:N9"/>
    <mergeCell ref="O9:Q9"/>
    <mergeCell ref="R9:T9"/>
    <mergeCell ref="U9:W9"/>
    <mergeCell ref="K12:N12"/>
    <mergeCell ref="O12:Q12"/>
    <mergeCell ref="R12:T12"/>
    <mergeCell ref="U12:W12"/>
    <mergeCell ref="K13:N13"/>
    <mergeCell ref="O13:Q13"/>
    <mergeCell ref="R13:T13"/>
    <mergeCell ref="U13:W13"/>
    <mergeCell ref="K10:N10"/>
    <mergeCell ref="O10:Q10"/>
    <mergeCell ref="R10:T10"/>
    <mergeCell ref="U10:W10"/>
    <mergeCell ref="K11:N11"/>
    <mergeCell ref="O11:Q11"/>
    <mergeCell ref="R11:T11"/>
    <mergeCell ref="U11:W11"/>
    <mergeCell ref="K25:N25"/>
    <mergeCell ref="O25:Q25"/>
    <mergeCell ref="R25:T25"/>
    <mergeCell ref="U25:W25"/>
    <mergeCell ref="K14:N14"/>
    <mergeCell ref="O14:Q14"/>
    <mergeCell ref="R14:T14"/>
    <mergeCell ref="U14:W14"/>
    <mergeCell ref="K23:N23"/>
    <mergeCell ref="O23:Q23"/>
    <mergeCell ref="R23:T23"/>
    <mergeCell ref="U23:W23"/>
    <mergeCell ref="K18:N18"/>
    <mergeCell ref="O18:Q18"/>
    <mergeCell ref="R18:T18"/>
    <mergeCell ref="U18:W18"/>
    <mergeCell ref="K16:N16"/>
    <mergeCell ref="O16:Q16"/>
    <mergeCell ref="R16:T16"/>
    <mergeCell ref="U16:W16"/>
    <mergeCell ref="K17:N17"/>
    <mergeCell ref="O17:Q17"/>
    <mergeCell ref="R17:T17"/>
    <mergeCell ref="U17:W17"/>
    <mergeCell ref="K31:N31"/>
    <mergeCell ref="O31:Q31"/>
    <mergeCell ref="R31:T31"/>
    <mergeCell ref="U31:W31"/>
    <mergeCell ref="K32:N32"/>
    <mergeCell ref="O32:Q32"/>
    <mergeCell ref="R32:T32"/>
    <mergeCell ref="U32:W32"/>
    <mergeCell ref="K30:N30"/>
    <mergeCell ref="O30:Q30"/>
    <mergeCell ref="R30:T30"/>
    <mergeCell ref="U30:W30"/>
    <mergeCell ref="K35:N35"/>
    <mergeCell ref="O35:Q35"/>
    <mergeCell ref="R35:T35"/>
    <mergeCell ref="U35:W35"/>
    <mergeCell ref="K36:N36"/>
    <mergeCell ref="O36:Q36"/>
    <mergeCell ref="R36:T36"/>
    <mergeCell ref="U36:W36"/>
    <mergeCell ref="K33:N33"/>
    <mergeCell ref="O33:Q33"/>
    <mergeCell ref="R33:T33"/>
    <mergeCell ref="U33:W33"/>
    <mergeCell ref="K34:N34"/>
    <mergeCell ref="O34:Q34"/>
    <mergeCell ref="R34:T34"/>
    <mergeCell ref="U34:W34"/>
    <mergeCell ref="K39:N39"/>
    <mergeCell ref="O39:Q39"/>
    <mergeCell ref="R39:T39"/>
    <mergeCell ref="U39:W39"/>
    <mergeCell ref="K40:N40"/>
    <mergeCell ref="O40:Q40"/>
    <mergeCell ref="R40:T40"/>
    <mergeCell ref="U40:W40"/>
    <mergeCell ref="K37:N37"/>
    <mergeCell ref="O37:Q37"/>
    <mergeCell ref="R37:T37"/>
    <mergeCell ref="U37:W37"/>
    <mergeCell ref="K38:N38"/>
    <mergeCell ref="O38:Q38"/>
    <mergeCell ref="R38:T38"/>
    <mergeCell ref="U38:W38"/>
    <mergeCell ref="K43:N43"/>
    <mergeCell ref="O43:Q43"/>
    <mergeCell ref="R43:T43"/>
    <mergeCell ref="U43:W43"/>
    <mergeCell ref="K44:N44"/>
    <mergeCell ref="O44:Q44"/>
    <mergeCell ref="R44:T44"/>
    <mergeCell ref="U44:W44"/>
    <mergeCell ref="K41:N41"/>
    <mergeCell ref="O41:Q41"/>
    <mergeCell ref="R41:T41"/>
    <mergeCell ref="U41:W41"/>
    <mergeCell ref="K42:N42"/>
    <mergeCell ref="O42:Q42"/>
    <mergeCell ref="R42:T42"/>
    <mergeCell ref="U42:W42"/>
    <mergeCell ref="K47:N47"/>
    <mergeCell ref="O47:Q47"/>
    <mergeCell ref="R47:T47"/>
    <mergeCell ref="U47:W47"/>
    <mergeCell ref="K48:N48"/>
    <mergeCell ref="O48:Q48"/>
    <mergeCell ref="R48:T48"/>
    <mergeCell ref="U48:W48"/>
    <mergeCell ref="K45:N45"/>
    <mergeCell ref="O45:Q45"/>
    <mergeCell ref="R45:T45"/>
    <mergeCell ref="U45:W45"/>
    <mergeCell ref="K46:N46"/>
    <mergeCell ref="O46:Q46"/>
    <mergeCell ref="R46:T46"/>
    <mergeCell ref="U46:W46"/>
  </mergeCells>
  <conditionalFormatting sqref="E54:J72">
    <cfRule type="cellIs" dxfId="1" priority="3" operator="greaterThanOrEqual">
      <formula>-0.05</formula>
    </cfRule>
    <cfRule type="cellIs" dxfId="0" priority="4" operator="lessThan">
      <formula>-0.05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a7c6fae-2b5b-41b9-9828-9db0b8af1416">1. Visum</Status>
    <Info xmlns="9a7c6fae-2b5b-41b9-9828-9db0b8af1416" xsi:nil="true"/>
    <Language_x002f_Sprache xmlns="9a7c6fae-2b5b-41b9-9828-9db0b8af1416" xsi:nil="true"/>
    <lcf76f155ced4ddcb4097134ff3c332f xmlns="9a7c6fae-2b5b-41b9-9828-9db0b8af1416">
      <Terms xmlns="http://schemas.microsoft.com/office/infopath/2007/PartnerControls"/>
    </lcf76f155ced4ddcb4097134ff3c332f>
    <Sprache xmlns="9a7c6fae-2b5b-41b9-9828-9db0b8af1416" xsi:nil="true"/>
    <Link xmlns="9a7c6fae-2b5b-41b9-9828-9db0b8af1416">
      <Url xsi:nil="true"/>
      <Description xsi:nil="true"/>
    </Link>
    <VerpackungseinheitenUmsatzmengenrabatt xmlns="9a7c6fae-2b5b-41b9-9828-9db0b8af1416" xsi:nil="true"/>
    <_Flow_SignoffStatus xmlns="9a7c6fae-2b5b-41b9-9828-9db0b8af1416" xsi:nil="true"/>
    <TaxCatchAll xmlns="36a3931b-a6eb-4373-934c-9d5d5b81561d" xsi:nil="true"/>
    <Comment xmlns="9a7c6fae-2b5b-41b9-9828-9db0b8af1416" xsi:nil="true"/>
    <Version_x002f_Version xmlns="9a7c6fae-2b5b-41b9-9828-9db0b8af1416" xsi:nil="true"/>
    <DateundZeit xmlns="9a7c6fae-2b5b-41b9-9828-9db0b8af1416" xsi:nil="true"/>
    <TaxKeywordTaxHTField xmlns="36a3931b-a6eb-4373-934c-9d5d5b81561d">
      <Terms xmlns="http://schemas.microsoft.com/office/infopath/2007/PartnerControls"/>
    </TaxKeywordTaxHTField>
    <StartWF xmlns="9a7c6fae-2b5b-41b9-9828-9db0b8af1416" xsi:nil="true"/>
    <Title_x002f_Titel xmlns="9a7c6fae-2b5b-41b9-9828-9db0b8af1416" xsi:nil="true"/>
    <System_x002f_System xmlns="9a7c6fae-2b5b-41b9-9828-9db0b8af1416" xsi:nil="true"/>
    <id9aab7848ae430b9b0939af27f5a653 xmlns="9a7c6fae-2b5b-41b9-9828-9db0b8af1416">
      <Terms xmlns="http://schemas.microsoft.com/office/infopath/2007/PartnerControls"/>
    </id9aab7848ae430b9b0939af27f5a653>
    <Country_x002f_Land xmlns="9a7c6fae-2b5b-41b9-9828-9db0b8af1416" xsi:nil="true"/>
    <NameMA xmlns="9a7c6fae-2b5b-41b9-9828-9db0b8af1416">
      <UserInfo>
        <DisplayName/>
        <AccountId xsi:nil="true"/>
        <AccountType/>
      </UserInfo>
    </NameMA>
    <Bemerkung xmlns="9a7c6fae-2b5b-41b9-9828-9db0b8af1416" xsi:nil="true"/>
    <Projektablauf xmlns="9a7c6fae-2b5b-41b9-9828-9db0b8af1416" xsi:nil="true"/>
    <Beschreibung xmlns="9a7c6fae-2b5b-41b9-9828-9db0b8af14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6071634F6B5F41AE51DB73FCDC0D4C" ma:contentTypeVersion="58" ma:contentTypeDescription="Ein neues Dokument erstellen." ma:contentTypeScope="" ma:versionID="86049108ffed96984ec8f13f8757e71b">
  <xsd:schema xmlns:xsd="http://www.w3.org/2001/XMLSchema" xmlns:xs="http://www.w3.org/2001/XMLSchema" xmlns:p="http://schemas.microsoft.com/office/2006/metadata/properties" xmlns:ns2="9a7c6fae-2b5b-41b9-9828-9db0b8af1416" xmlns:ns3="36a3931b-a6eb-4373-934c-9d5d5b81561d" targetNamespace="http://schemas.microsoft.com/office/2006/metadata/properties" ma:root="true" ma:fieldsID="09d87cac2a1ed1d478a82f3f2f0d1796" ns2:_="" ns3:_="">
    <xsd:import namespace="9a7c6fae-2b5b-41b9-9828-9db0b8af1416"/>
    <xsd:import namespace="36a3931b-a6eb-4373-934c-9d5d5b81561d"/>
    <xsd:element name="properties">
      <xsd:complexType>
        <xsd:sequence>
          <xsd:element name="documentManagement">
            <xsd:complexType>
              <xsd:all>
                <xsd:element ref="ns2:Title_x002f_Titel" minOccurs="0"/>
                <xsd:element ref="ns2:Info" minOccurs="0"/>
                <xsd:element ref="ns2:Language_x002f_Sprache" minOccurs="0"/>
                <xsd:element ref="ns2:Country_x002f_Land" minOccurs="0"/>
                <xsd:element ref="ns2:Link" minOccurs="0"/>
                <xsd:element ref="ns2:Version_x002f_Version" minOccurs="0"/>
                <xsd:element ref="ns2:System_x002f_System" minOccurs="0"/>
                <xsd:element ref="ns2:Status" minOccurs="0"/>
                <xsd:element ref="ns2:VerpackungseinheitenUmsatzmengenrabatt" minOccurs="0"/>
                <xsd:element ref="ns2:DateundZeit" minOccurs="0"/>
                <xsd:element ref="ns2:Comment" minOccurs="0"/>
                <xsd:element ref="ns2:_Flow_SignoffStatus" minOccurs="0"/>
                <xsd:element ref="ns2:NameMA" minOccurs="0"/>
                <xsd:element ref="ns2:MediaServiceGenerationTime" minOccurs="0"/>
                <xsd:element ref="ns2:MediaServiceEventHashCode" minOccurs="0"/>
                <xsd:element ref="ns3:TaxKeywordTaxHTField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Metadata" minOccurs="0"/>
                <xsd:element ref="ns2:MediaLengthInSeconds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AutoTags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3:SharedWithUsers" minOccurs="0"/>
                <xsd:element ref="ns3:SharedWithDetails" minOccurs="0"/>
                <xsd:element ref="ns2:StartWF" minOccurs="0"/>
                <xsd:element ref="ns2:Sprache" minOccurs="0"/>
                <xsd:element ref="ns2:id9aab7848ae430b9b0939af27f5a653" minOccurs="0"/>
                <xsd:element ref="ns2:MediaServiceBillingMetadata" minOccurs="0"/>
                <xsd:element ref="ns2:Bemerkung" minOccurs="0"/>
                <xsd:element ref="ns2:Projektablauf" minOccurs="0"/>
                <xsd:element ref="ns2:Beschreibu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c6fae-2b5b-41b9-9828-9db0b8af1416" elementFormDefault="qualified">
    <xsd:import namespace="http://schemas.microsoft.com/office/2006/documentManagement/types"/>
    <xsd:import namespace="http://schemas.microsoft.com/office/infopath/2007/PartnerControls"/>
    <xsd:element name="Title_x002f_Titel" ma:index="1" nillable="true" ma:displayName="Title / Titel" ma:description="Title in language / Titel in der jeweiligen Sprache" ma:format="Dropdown" ma:internalName="Title_x002f_Titel" ma:readOnly="false">
      <xsd:simpleType>
        <xsd:restriction base="dms:Text">
          <xsd:maxLength value="255"/>
        </xsd:restriction>
      </xsd:simpleType>
    </xsd:element>
    <xsd:element name="Info" ma:index="2" nillable="true" ma:displayName="Publication / Bereitstellung" ma:description="Digital vs. Printed version / Digital vs. Druckversion" ma:format="Dropdown" ma:internalName="Info" ma:readOnly="false">
      <xsd:simpleType>
        <xsd:restriction base="dms:Choice">
          <xsd:enumeration value="Only PDF available (Digital)"/>
          <xsd:enumeration value="Printed version available / Druckversion verfügbar"/>
          <xsd:enumeration value="Auswahl 3"/>
        </xsd:restriction>
      </xsd:simpleType>
    </xsd:element>
    <xsd:element name="Language_x002f_Sprache" ma:index="4" nillable="true" ma:displayName="Language/Sprache" ma:format="Dropdown" ma:internalName="Language_x002f_Sprache" ma:readOnly="false">
      <xsd:simpleType>
        <xsd:restriction base="dms:Choice">
          <xsd:enumeration value="Deutsch"/>
          <xsd:enumeration value="Französisch"/>
          <xsd:enumeration value="Italienisch"/>
          <xsd:enumeration value="Englisch"/>
        </xsd:restriction>
      </xsd:simpleType>
    </xsd:element>
    <xsd:element name="Country_x002f_Land" ma:index="5" nillable="true" ma:displayName="Country/Land" ma:description="Content for which country / Inhalt für welches Land&#10;&quot;International&quot; means for countries where we do not see specific constraints / &quot;International&quot; verwenden wir für Länder, in denen wir keine spezifischen Anforderungen haben bzw. kennen" ma:format="Dropdown" ma:internalName="Country_x002f_Land" ma:readOnly="false">
      <xsd:simpleType>
        <xsd:restriction base="dms:Choice">
          <xsd:enumeration value="Schweiz"/>
          <xsd:enumeration value="Deutschland"/>
          <xsd:enumeration value="Österreich"/>
          <xsd:enumeration value="International"/>
        </xsd:restriction>
      </xsd:simpleType>
    </xsd:element>
    <xsd:element name="Link" ma:index="6" nillable="true" ma:displayName="Link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Version_x002f_Version" ma:index="7" nillable="true" ma:displayName="Version / Version" ma:description="Content updated in month-year / Inhalt aktualisiert in Monat-Jahr" ma:format="DateTime" ma:internalName="Version_x002f_Version" ma:readOnly="false">
      <xsd:simpleType>
        <xsd:restriction base="dms:DateTime"/>
      </xsd:simpleType>
    </xsd:element>
    <xsd:element name="System_x002f_System" ma:index="8" nillable="true" ma:displayName="System / System" ma:format="Dropdown" ma:internalName="System_x002f_System" ma:readOnly="false">
      <xsd:simpleType>
        <xsd:restriction base="dms:Choice">
          <xsd:enumeration value="Solardach"/>
          <xsd:enumeration value="Solarfassade"/>
          <xsd:enumeration value="Solargeländer"/>
          <xsd:enumeration value="Solar-Overhead"/>
        </xsd:restriction>
      </xsd:simpleType>
    </xsd:element>
    <xsd:element name="Status" ma:index="9" nillable="true" ma:displayName="Status" ma:default="1. Visum" ma:format="Dropdown" ma:internalName="Status" ma:readOnly="false">
      <xsd:simpleType>
        <xsd:restriction base="dms:Choice">
          <xsd:enumeration value="1. Visum"/>
          <xsd:enumeration value="zu Verbuchen"/>
          <xsd:enumeration value="2. Visum"/>
          <xsd:enumeration value="Buchung ändern"/>
          <xsd:enumeration value="zu Bezahlen"/>
          <xsd:enumeration value="Bezahlt"/>
          <xsd:enumeration value="Mahnung"/>
          <xsd:enumeration value="AZE Kontrolle Eingangsrechnung"/>
          <xsd:enumeration value="AZE Kontrolle Einkaufsrechnung"/>
        </xsd:restriction>
      </xsd:simpleType>
    </xsd:element>
    <xsd:element name="VerpackungseinheitenUmsatzmengenrabatt" ma:index="10" nillable="true" ma:displayName="Verpackungseinheiten Umsatzmengenrabatt" ma:format="Dropdown" ma:hidden="true" ma:internalName="VerpackungseinheitenUmsatzmengenrabatt" ma:readOnly="false">
      <xsd:simpleType>
        <xsd:restriction base="dms:Text">
          <xsd:maxLength value="255"/>
        </xsd:restriction>
      </xsd:simpleType>
    </xsd:element>
    <xsd:element name="DateundZeit" ma:index="11" nillable="true" ma:displayName="Date und Zeit" ma:format="DateOnly" ma:hidden="true" ma:indexed="true" ma:internalName="DateundZeit" ma:readOnly="false">
      <xsd:simpleType>
        <xsd:restriction base="dms:DateTime"/>
      </xsd:simpleType>
    </xsd:element>
    <xsd:element name="Comment" ma:index="12" nillable="true" ma:displayName="Comment" ma:description="After calculation: 32.33 [Euro/m^2]" ma:format="Dropdown" ma:hidden="true" ma:internalName="Comment" ma:readOnly="false">
      <xsd:simpleType>
        <xsd:restriction base="dms:Note"/>
      </xsd:simpleType>
    </xsd:element>
    <xsd:element name="_Flow_SignoffStatus" ma:index="14" nillable="true" ma:displayName="Status Unterschrift" ma:hidden="true" ma:internalName="Status_x0020_Unterschrift" ma:readOnly="false">
      <xsd:simpleType>
        <xsd:restriction base="dms:Text"/>
      </xsd:simpleType>
    </xsd:element>
    <xsd:element name="NameMA" ma:index="15" nillable="true" ma:displayName="Name MA" ma:format="Dropdown" ma:hidden="true" ma:list="UserInfo" ma:SharePointGroup="0" ma:internalName="NameMA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hidden="true" ma:internalName="MediaServiceKeyPoint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LengthInSeconds" ma:index="29" nillable="true" ma:displayName="Length (seconds)" ma:hidden="true" ma:internalName="MediaLengthInSeconds" ma:readOnly="true">
      <xsd:simpleType>
        <xsd:restriction base="dms:Unknown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Bildmarkierungen" ma:readOnly="false" ma:fieldId="{5cf76f15-5ced-4ddc-b409-7134ff3c332f}" ma:taxonomyMulti="true" ma:sspId="adc8986e-4ef4-4b73-a19a-f77c983856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AutoTags" ma:index="34" nillable="true" ma:displayName="Tags" ma:hidden="true" ma:internalName="MediaServiceAutoTags" ma:readOnly="true">
      <xsd:simpleType>
        <xsd:restriction base="dms:Text"/>
      </xsd:simpleType>
    </xsd:element>
    <xsd:element name="MediaServiceOCR" ma:index="35" nillable="true" ma:displayName="Extracted Text" ma:hidden="true" ma:internalName="MediaServiceOCR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7" nillable="true" ma:displayName="Location" ma:hidden="true" ma:internalName="MediaServiceLocation" ma:readOnly="true">
      <xsd:simpleType>
        <xsd:restriction base="dms:Text"/>
      </xsd:simpleType>
    </xsd:element>
    <xsd:element name="StartWF" ma:index="40" nillable="true" ma:displayName="StartWF" ma:format="Dropdown" ma:hidden="true" ma:internalName="StartWF" ma:readOnly="false">
      <xsd:simpleType>
        <xsd:restriction base="dms:Text">
          <xsd:maxLength value="255"/>
        </xsd:restriction>
      </xsd:simpleType>
    </xsd:element>
    <xsd:element name="Sprache" ma:index="42" nillable="true" ma:displayName="Sprache" ma:format="Dropdown" ma:internalName="Sprache">
      <xsd:simpleType>
        <xsd:restriction base="dms:Choice">
          <xsd:enumeration value="Deutsch"/>
          <xsd:enumeration value="Italienisch"/>
          <xsd:enumeration value="Französisch"/>
        </xsd:restriction>
      </xsd:simpleType>
    </xsd:element>
    <xsd:element name="id9aab7848ae430b9b0939af27f5a653" ma:index="44" nillable="true" ma:taxonomy="true" ma:internalName="id9aab7848ae430b9b0939af27f5a653" ma:taxonomyFieldName="Archiv" ma:displayName="Archiv" ma:default="" ma:fieldId="{2d9aab78-48ae-430b-9b09-39af27f5a653}" ma:sspId="adc8986e-4ef4-4b73-a19a-f77c98385637" ma:termSetId="229c7b4d-3da3-4bdf-849c-de9d1fa66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  <xsd:element name="Bemerkung" ma:index="46" nillable="true" ma:displayName="Bemerkung" ma:description="Hier können Details zum Ordnerinhalt beschrieben werden." ma:format="Dropdown" ma:internalName="Bemerkung">
      <xsd:simpleType>
        <xsd:restriction base="dms:Text">
          <xsd:maxLength value="255"/>
        </xsd:restriction>
      </xsd:simpleType>
    </xsd:element>
    <xsd:element name="Projektablauf" ma:index="47" nillable="true" ma:displayName="Stufe Bildungspartner" ma:description="Alls ersten Entwurf werden hier die einzelnen Bildungspartner in Stufen eingeteilt um die Wichtigkeit der Partnerschaft aufzuzeigen. " ma:format="Dropdown" ma:internalName="Projektablauf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tufe 1 (Minimum)"/>
                    <xsd:enumeration value="Stufe 2 (Ausgewogen)"/>
                    <xsd:enumeration value="Stufe 3 (Optimal)"/>
                  </xsd:restriction>
                </xsd:simpleType>
              </xsd:element>
            </xsd:sequence>
          </xsd:extension>
        </xsd:complexContent>
      </xsd:complexType>
    </xsd:element>
    <xsd:element name="Beschreibung" ma:index="48" nillable="true" ma:displayName="Beschreibung" ma:format="Dropdown" ma:internalName="Beschreibu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3931b-a6eb-4373-934c-9d5d5b81561d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20" nillable="true" ma:taxonomy="true" ma:internalName="TaxKeywordTaxHTField" ma:taxonomyFieldName="TaxKeyword" ma:displayName="Unternehmensstichwörter" ma:readOnly="false" ma:fieldId="{23f27201-bee3-471e-b2e7-b64fd8b7ca38}" ma:taxonomyMulti="true" ma:sspId="adc8986e-4ef4-4b73-a19a-f77c98385637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hidden="true" ma:list="{090f0abf-ef7e-4cb7-919e-b26b6eca7ad3}" ma:internalName="TaxCatchAll" ma:readOnly="false" ma:showField="CatchAllData" ma:web="36a3931b-a6eb-4373-934c-9d5d5b8156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8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9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CA1B26-DF64-445F-BA64-EB4D01C720DA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36a3931b-a6eb-4373-934c-9d5d5b81561d"/>
    <ds:schemaRef ds:uri="http://purl.org/dc/elements/1.1/"/>
    <ds:schemaRef ds:uri="http://purl.org/dc/terms/"/>
    <ds:schemaRef ds:uri="http://schemas.microsoft.com/office/infopath/2007/PartnerControls"/>
    <ds:schemaRef ds:uri="9a7c6fae-2b5b-41b9-9828-9db0b8af141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AA280B-9240-4E47-A5D8-35ACE25EC2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B737D1-DD4E-4209-A30C-E4E8F9C3B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c6fae-2b5b-41b9-9828-9db0b8af1416"/>
    <ds:schemaRef ds:uri="36a3931b-a6eb-4373-934c-9d5d5b815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Data Results DH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Veuthey Jérémie</cp:lastModifiedBy>
  <cp:revision/>
  <dcterms:created xsi:type="dcterms:W3CDTF">2024-09-10T08:58:33Z</dcterms:created>
  <dcterms:modified xsi:type="dcterms:W3CDTF">2026-07-28T11:40:58Z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0x0101000C6071634F6B5F41AE51DB73FCDC0D4C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Archiv">
    <vt:lpwstr/>
  </property>
</Properties>
</file>