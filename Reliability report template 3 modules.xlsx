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jeremie.veuthey\Downloads\"/>
    </mc:Choice>
  </mc:AlternateContent>
  <xr:revisionPtr revIDLastSave="0" documentId="13_ncr:1_{3BC0D4F6-163E-4B36-B4B0-66E90E7C4A8F}" xr6:coauthVersionLast="47" xr6:coauthVersionMax="47" xr10:uidLastSave="{00000000-0000-0000-0000-000000000000}"/>
  <bookViews>
    <workbookView xWindow="44690" yWindow="-9830" windowWidth="25820" windowHeight="13900" xr2:uid="{00000000-000D-0000-FFFF-FFFF00000000}"/>
  </bookViews>
  <sheets>
    <sheet name="RawData" sheetId="6" r:id="rId1"/>
    <sheet name="Data Results DH1000" sheetId="5" r:id="rId2"/>
    <sheet name="EL and Visual" sheetId="4" r:id="rId3"/>
  </sheets>
  <definedNames>
    <definedName name="_xlnm._FilterDatabase" localSheetId="0" hidden="1">RawData!$A$1:$Y$7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5" l="1"/>
  <c r="I24" i="5"/>
  <c r="H23" i="5"/>
  <c r="H24" i="5"/>
  <c r="G23" i="5"/>
  <c r="G24" i="5"/>
  <c r="F23" i="5"/>
  <c r="F24" i="5"/>
  <c r="E23" i="5"/>
  <c r="E24" i="5"/>
  <c r="E22" i="5"/>
  <c r="F22" i="5"/>
  <c r="G22" i="5"/>
  <c r="H22" i="5"/>
  <c r="I22" i="5"/>
  <c r="D23" i="5"/>
  <c r="D24" i="5"/>
  <c r="D22" i="5"/>
  <c r="C23" i="5"/>
  <c r="C24" i="5"/>
  <c r="C22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<sst xmlns="http://schemas.openxmlformats.org/spreadsheetml/2006/main" count="148" uniqueCount="64">
  <si>
    <t>Comments</t>
  </si>
  <si>
    <t xml:space="preserve">Initial Measurement </t>
  </si>
  <si>
    <t>Initial Visual Inspection Evaluation</t>
  </si>
  <si>
    <t xml:space="preserve">Electroluminescence images evaluation (Initial) </t>
  </si>
  <si>
    <t>Wet Leakage Current Test (Initial)</t>
  </si>
  <si>
    <t>Description</t>
  </si>
  <si>
    <t>Chamber Name</t>
  </si>
  <si>
    <t>Flash Test Date</t>
  </si>
  <si>
    <t>Serial number</t>
  </si>
  <si>
    <t>Pmax
(W)</t>
  </si>
  <si>
    <t xml:space="preserve">Vmpp (V) </t>
  </si>
  <si>
    <t xml:space="preserve">Impp (A) </t>
  </si>
  <si>
    <t>Voc (V)</t>
  </si>
  <si>
    <t>Isc</t>
  </si>
  <si>
    <t xml:space="preserve">FF (%) </t>
  </si>
  <si>
    <t>Number of Cell Cracks</t>
  </si>
  <si>
    <t>Additional Attributes</t>
  </si>
  <si>
    <t>Result Initial WL in Gohm</t>
  </si>
  <si>
    <t>DH1000</t>
  </si>
  <si>
    <t>FuE 1016</t>
  </si>
  <si>
    <t>FuE 1008</t>
  </si>
  <si>
    <t>FuE 1017</t>
  </si>
  <si>
    <t xml:space="preserve">Wet Leakage Current Test </t>
  </si>
  <si>
    <t>FF</t>
  </si>
  <si>
    <t>Passed</t>
  </si>
  <si>
    <t>1IEC</t>
  </si>
  <si>
    <t xml:space="preserve">EL Intial </t>
  </si>
  <si>
    <t>PHOTO LINK</t>
  </si>
  <si>
    <t>Visual Initial</t>
  </si>
  <si>
    <t xml:space="preserve">EL Final </t>
  </si>
  <si>
    <t>Visual Final</t>
  </si>
  <si>
    <t xml:space="preserve">Visual Final </t>
  </si>
  <si>
    <t>TS-FLAIR - Wolbring - GBS Sat</t>
  </si>
  <si>
    <t xml:space="preserve">Visual Final - CC Imprints more visible </t>
  </si>
  <si>
    <t>Date</t>
  </si>
  <si>
    <t>Time</t>
  </si>
  <si>
    <t>InstanceName</t>
  </si>
  <si>
    <t>User</t>
  </si>
  <si>
    <t>MeasStat</t>
  </si>
  <si>
    <t>MachStat</t>
  </si>
  <si>
    <t>Snr</t>
  </si>
  <si>
    <t>Voc</t>
  </si>
  <si>
    <t>Pmax</t>
  </si>
  <si>
    <t>Vpmax</t>
  </si>
  <si>
    <t>Ipmax</t>
  </si>
  <si>
    <t>Rs</t>
  </si>
  <si>
    <t>Rsh</t>
  </si>
  <si>
    <t>Eff</t>
  </si>
  <si>
    <t>Tdut</t>
  </si>
  <si>
    <t>Gavg</t>
  </si>
  <si>
    <t>LTI</t>
  </si>
  <si>
    <t>Class</t>
  </si>
  <si>
    <t>ClassBin</t>
  </si>
  <si>
    <t>Fcp</t>
  </si>
  <si>
    <t>FcsCC</t>
  </si>
  <si>
    <t>FcsMC</t>
  </si>
  <si>
    <t>Fcv</t>
  </si>
  <si>
    <t>TeraSlate L</t>
  </si>
  <si>
    <t>eng - ENGINEER</t>
  </si>
  <si>
    <t>Ok</t>
  </si>
  <si>
    <t>N/A - C-Ware - 31016375 TeraSlate Black 6DL-225</t>
  </si>
  <si>
    <t>N/A</t>
  </si>
  <si>
    <t>TERRASLATE L</t>
  </si>
  <si>
    <t>Degradation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</si>
</sst>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11"/>
      <color rgb="FF000000"/>
      <name val="Aptos Narrow"/>
      <family val="2"/>
    </font>
    <font>
      <sz val="12"/>
      <color theme="0"/>
      <name val="Arial"/>
      <family val="2"/>
    </font>
    <font>
      <sz val="9"/>
      <color rgb="FF00B050"/>
      <name val="Arial"/>
      <family val="2"/>
    </font>
    <font>
      <sz val="12"/>
      <color rgb="FF000000"/>
      <name val="Arial"/>
      <family val="2"/>
    </font>
    <font>
      <sz val="14"/>
      <color theme="0"/>
      <name val="Arial"/>
      <family val="2"/>
    </font>
    <font>
      <sz val="9"/>
      <color rgb="FFFF0000"/>
      <name val="Arial"/>
      <family val="2"/>
    </font>
    <font>
      <sz val="11"/>
      <color rgb="FF242424"/>
      <name val="Aptos Narrow"/>
      <charset val="1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9" xfId="0" applyFont="1" applyBorder="1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/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14" fontId="0" fillId="0" borderId="5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0" fontId="6" fillId="3" borderId="5" xfId="0" applyNumberFormat="1" applyFont="1" applyFill="1" applyBorder="1"/>
    <xf numFmtId="0" fontId="7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/>
    </xf>
    <xf numFmtId="0" fontId="4" fillId="0" borderId="19" xfId="0" applyFont="1" applyBorder="1"/>
    <xf numFmtId="0" fontId="4" fillId="0" borderId="22" xfId="0" applyFont="1" applyBorder="1" applyAlignment="1">
      <alignment horizontal="center" vertical="center"/>
    </xf>
    <xf numFmtId="10" fontId="9" fillId="3" borderId="5" xfId="0" applyNumberFormat="1" applyFont="1" applyFill="1" applyBorder="1"/>
    <xf numFmtId="10" fontId="6" fillId="3" borderId="15" xfId="0" applyNumberFormat="1" applyFont="1" applyFill="1" applyBorder="1" applyAlignment="1">
      <alignment horizontal="right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/>
    <xf numFmtId="0" fontId="4" fillId="0" borderId="16" xfId="0" applyFont="1" applyBorder="1"/>
    <xf numFmtId="0" fontId="4" fillId="0" borderId="5" xfId="0" applyFont="1" applyBorder="1" applyAlignment="1">
      <alignment horizontal="center" vertical="center"/>
    </xf>
    <xf numFmtId="0" fontId="4" fillId="0" borderId="18" xfId="0" applyFont="1" applyBorder="1"/>
    <xf numFmtId="0" fontId="4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8F85-4AEB-445F-816E-F727680DBD07}">
  <dimension ref="A1:Y7"/>
  <sheetViews>
    <sheetView tabSelected="1" workbookViewId="0">
      <selection activeCell="D7" sqref="D7:D8"/>
    </sheetView>
  </sheetViews>
  <sheetFormatPr defaultRowHeight="14.5" x14ac:dyDescent="0.35"/>
  <cols>
    <col min="1" max="1" width="9.1796875" bestFit="1" customWidth="1"/>
    <col min="2" max="2" width="7.90625" bestFit="1" customWidth="1"/>
    <col min="3" max="3" width="14.90625" bestFit="1" customWidth="1"/>
    <col min="4" max="4" width="13.6328125" bestFit="1" customWidth="1"/>
    <col min="5" max="5" width="10.7265625" bestFit="1" customWidth="1"/>
    <col min="6" max="6" width="10.81640625" bestFit="1" customWidth="1"/>
    <col min="7" max="7" width="8.1796875" bestFit="1" customWidth="1"/>
    <col min="8" max="8" width="6.81640625" bestFit="1" customWidth="1"/>
    <col min="9" max="9" width="5.90625" bestFit="1" customWidth="1"/>
    <col min="10" max="10" width="7.81640625" bestFit="1" customWidth="1"/>
    <col min="11" max="11" width="8.6328125" bestFit="1" customWidth="1"/>
    <col min="12" max="12" width="7.90625" bestFit="1" customWidth="1"/>
    <col min="13" max="13" width="6.81640625" bestFit="1" customWidth="1"/>
    <col min="14" max="14" width="8.81640625" bestFit="1" customWidth="1"/>
    <col min="15" max="16" width="7.81640625" bestFit="1" customWidth="1"/>
    <col min="17" max="17" width="6.6328125" bestFit="1" customWidth="1"/>
    <col min="18" max="18" width="7.1796875" bestFit="1" customWidth="1"/>
    <col min="19" max="19" width="6.81640625" bestFit="1" customWidth="1"/>
    <col min="20" max="20" width="41.36328125" bestFit="1" customWidth="1"/>
    <col min="21" max="21" width="10.1796875" bestFit="1" customWidth="1"/>
    <col min="22" max="22" width="6.81640625" bestFit="1" customWidth="1"/>
    <col min="23" max="23" width="8.54296875" bestFit="1" customWidth="1"/>
    <col min="25" max="25" width="6.81640625" bestFit="1" customWidth="1"/>
  </cols>
  <sheetData>
    <row r="1" spans="1:25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13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23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 x14ac:dyDescent="0.35">
      <c r="A2" s="37">
        <v>45771</v>
      </c>
      <c r="B2" s="38">
        <v>0.6693055555555556</v>
      </c>
      <c r="C2" t="s">
        <v>57</v>
      </c>
      <c r="D2" t="s">
        <v>58</v>
      </c>
      <c r="E2" t="s">
        <v>59</v>
      </c>
      <c r="F2" t="s">
        <v>59</v>
      </c>
      <c r="G2" t="s">
        <v>19</v>
      </c>
      <c r="H2">
        <v>32.909999999999997</v>
      </c>
      <c r="I2">
        <v>6.2050000000000001</v>
      </c>
      <c r="J2">
        <v>164.858</v>
      </c>
      <c r="K2">
        <v>27.722000000000001</v>
      </c>
      <c r="L2">
        <v>5.9470000000000001</v>
      </c>
      <c r="M2">
        <v>0.40620000000000001</v>
      </c>
      <c r="N2">
        <v>259.08449999999999</v>
      </c>
      <c r="O2">
        <v>80.727599999999995</v>
      </c>
      <c r="P2">
        <v>13.635899999999999</v>
      </c>
      <c r="Q2">
        <v>26.1</v>
      </c>
      <c r="R2">
        <v>1000.9</v>
      </c>
      <c r="S2">
        <v>6.9999999999999999E-4</v>
      </c>
      <c r="T2" t="s">
        <v>60</v>
      </c>
      <c r="U2" t="s">
        <v>61</v>
      </c>
      <c r="V2">
        <v>0.996</v>
      </c>
      <c r="W2">
        <v>0.97260000000000002</v>
      </c>
      <c r="X2">
        <v>0.95579999999999998</v>
      </c>
      <c r="Y2">
        <v>0.99790000000000001</v>
      </c>
    </row>
    <row r="3" spans="1:25" x14ac:dyDescent="0.35">
      <c r="A3" s="37">
        <v>45771</v>
      </c>
      <c r="B3" s="38">
        <v>0.67053240740740738</v>
      </c>
      <c r="C3" t="s">
        <v>57</v>
      </c>
      <c r="D3" t="s">
        <v>58</v>
      </c>
      <c r="E3" t="s">
        <v>59</v>
      </c>
      <c r="F3" t="s">
        <v>59</v>
      </c>
      <c r="G3" t="s">
        <v>20</v>
      </c>
      <c r="H3">
        <v>33.247999999999998</v>
      </c>
      <c r="I3">
        <v>8.0220000000000002</v>
      </c>
      <c r="J3">
        <v>211.60300000000001</v>
      </c>
      <c r="K3">
        <v>27.715</v>
      </c>
      <c r="L3">
        <v>7.6349999999999998</v>
      </c>
      <c r="M3">
        <v>0.3473</v>
      </c>
      <c r="N3">
        <v>204.94390000000001</v>
      </c>
      <c r="O3">
        <v>79.34</v>
      </c>
      <c r="P3">
        <v>17.502300000000002</v>
      </c>
      <c r="Q3">
        <v>26.3</v>
      </c>
      <c r="R3">
        <v>1000.9</v>
      </c>
      <c r="S3">
        <v>1E-3</v>
      </c>
      <c r="T3" t="s">
        <v>60</v>
      </c>
      <c r="U3" t="s">
        <v>61</v>
      </c>
      <c r="V3">
        <v>0.996</v>
      </c>
      <c r="W3">
        <v>0.97260000000000002</v>
      </c>
      <c r="X3">
        <v>0.95579999999999998</v>
      </c>
      <c r="Y3">
        <v>0.99790000000000001</v>
      </c>
    </row>
    <row r="4" spans="1:25" x14ac:dyDescent="0.35">
      <c r="A4" s="37">
        <v>45771</v>
      </c>
      <c r="B4" s="38">
        <v>0.67228009259259258</v>
      </c>
      <c r="C4" t="s">
        <v>57</v>
      </c>
      <c r="D4" t="s">
        <v>58</v>
      </c>
      <c r="E4" t="s">
        <v>59</v>
      </c>
      <c r="F4" t="s">
        <v>59</v>
      </c>
      <c r="G4" t="s">
        <v>21</v>
      </c>
      <c r="H4">
        <v>32.886000000000003</v>
      </c>
      <c r="I4">
        <v>6.0919999999999996</v>
      </c>
      <c r="J4">
        <v>161.91499999999999</v>
      </c>
      <c r="K4">
        <v>27.69</v>
      </c>
      <c r="L4">
        <v>5.8470000000000004</v>
      </c>
      <c r="M4">
        <v>0.41410000000000002</v>
      </c>
      <c r="N4">
        <v>292.6814</v>
      </c>
      <c r="O4">
        <v>80.820300000000003</v>
      </c>
      <c r="P4">
        <v>13.3924</v>
      </c>
      <c r="Q4">
        <v>26.6</v>
      </c>
      <c r="R4">
        <v>1000.8</v>
      </c>
      <c r="S4">
        <v>5.9999999999999995E-4</v>
      </c>
      <c r="T4" t="s">
        <v>60</v>
      </c>
      <c r="U4" t="s">
        <v>61</v>
      </c>
      <c r="V4">
        <v>0.996</v>
      </c>
      <c r="W4">
        <v>0.97260000000000002</v>
      </c>
      <c r="X4">
        <v>0.95579999999999998</v>
      </c>
      <c r="Y4">
        <v>0.99790000000000001</v>
      </c>
    </row>
    <row r="5" spans="1:25" x14ac:dyDescent="0.35">
      <c r="A5" s="37">
        <v>45932</v>
      </c>
      <c r="B5" s="38">
        <v>0.45454861111111111</v>
      </c>
      <c r="C5" t="s">
        <v>62</v>
      </c>
      <c r="D5" t="s">
        <v>58</v>
      </c>
      <c r="E5" t="s">
        <v>59</v>
      </c>
      <c r="F5" t="s">
        <v>59</v>
      </c>
      <c r="G5" t="s">
        <v>21</v>
      </c>
      <c r="H5">
        <v>32.697000000000003</v>
      </c>
      <c r="I5">
        <v>6.109</v>
      </c>
      <c r="J5">
        <v>160.58199999999999</v>
      </c>
      <c r="K5">
        <v>27.372</v>
      </c>
      <c r="L5">
        <v>5.867</v>
      </c>
      <c r="M5">
        <v>0.42820000000000003</v>
      </c>
      <c r="N5">
        <v>411.84690000000001</v>
      </c>
      <c r="O5">
        <v>80.397099999999995</v>
      </c>
      <c r="P5">
        <v>13.2822</v>
      </c>
      <c r="Q5">
        <v>23.5</v>
      </c>
      <c r="R5">
        <v>1000.1</v>
      </c>
      <c r="S5">
        <v>6.9999999999999999E-4</v>
      </c>
      <c r="T5" t="s">
        <v>60</v>
      </c>
      <c r="U5" t="s">
        <v>61</v>
      </c>
      <c r="V5">
        <v>0.99490000000000001</v>
      </c>
      <c r="W5">
        <v>0.97099999999999997</v>
      </c>
      <c r="X5">
        <v>0.95469999999999999</v>
      </c>
      <c r="Y5">
        <v>0.99809999999999999</v>
      </c>
    </row>
    <row r="6" spans="1:25" x14ac:dyDescent="0.35">
      <c r="A6" s="37">
        <v>45932</v>
      </c>
      <c r="B6" s="38">
        <v>0.4557060185185185</v>
      </c>
      <c r="C6" t="s">
        <v>62</v>
      </c>
      <c r="D6" t="s">
        <v>58</v>
      </c>
      <c r="E6" t="s">
        <v>59</v>
      </c>
      <c r="F6" t="s">
        <v>59</v>
      </c>
      <c r="G6" t="s">
        <v>19</v>
      </c>
      <c r="H6">
        <v>32.716999999999999</v>
      </c>
      <c r="I6">
        <v>6.2069999999999999</v>
      </c>
      <c r="J6">
        <v>163.34200000000001</v>
      </c>
      <c r="K6">
        <v>27.384</v>
      </c>
      <c r="L6">
        <v>5.9649999999999999</v>
      </c>
      <c r="M6">
        <v>0.42530000000000001</v>
      </c>
      <c r="N6">
        <v>336.35890000000001</v>
      </c>
      <c r="O6">
        <v>80.429100000000005</v>
      </c>
      <c r="P6">
        <v>13.5105</v>
      </c>
      <c r="Q6">
        <v>23.4</v>
      </c>
      <c r="R6">
        <v>1000.2</v>
      </c>
      <c r="S6">
        <v>8.9999999999999998E-4</v>
      </c>
      <c r="T6" t="s">
        <v>60</v>
      </c>
      <c r="U6" t="s">
        <v>61</v>
      </c>
      <c r="V6">
        <v>0.99490000000000001</v>
      </c>
      <c r="W6">
        <v>0.97099999999999997</v>
      </c>
      <c r="X6">
        <v>0.95469999999999999</v>
      </c>
      <c r="Y6">
        <v>0.99809999999999999</v>
      </c>
    </row>
    <row r="7" spans="1:25" x14ac:dyDescent="0.35">
      <c r="A7" s="37">
        <v>45932</v>
      </c>
      <c r="B7" s="38">
        <v>0.45643518518518517</v>
      </c>
      <c r="C7" t="s">
        <v>62</v>
      </c>
      <c r="D7" t="s">
        <v>58</v>
      </c>
      <c r="E7" t="s">
        <v>59</v>
      </c>
      <c r="F7" t="s">
        <v>59</v>
      </c>
      <c r="G7" t="s">
        <v>20</v>
      </c>
      <c r="H7">
        <v>33.073999999999998</v>
      </c>
      <c r="I7">
        <v>8.048</v>
      </c>
      <c r="J7">
        <v>210.011</v>
      </c>
      <c r="K7">
        <v>27.369</v>
      </c>
      <c r="L7">
        <v>7.673</v>
      </c>
      <c r="M7">
        <v>0.36530000000000001</v>
      </c>
      <c r="N7">
        <v>302.68380000000002</v>
      </c>
      <c r="O7">
        <v>78.899500000000003</v>
      </c>
      <c r="P7">
        <v>17.370699999999999</v>
      </c>
      <c r="Q7">
        <v>23.5</v>
      </c>
      <c r="R7">
        <v>1000.3</v>
      </c>
      <c r="S7">
        <v>8.0000000000000004E-4</v>
      </c>
      <c r="T7" t="s">
        <v>60</v>
      </c>
      <c r="U7" t="s">
        <v>61</v>
      </c>
      <c r="V7">
        <v>0.99490000000000001</v>
      </c>
      <c r="W7">
        <v>0.97099999999999997</v>
      </c>
      <c r="X7">
        <v>0.95469999999999999</v>
      </c>
      <c r="Y7">
        <v>0.99809999999999999</v>
      </c>
    </row>
  </sheetData>
  <autoFilter ref="A1:Y7" xr:uid="{604E8F85-4AEB-445F-816E-F727680DBD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BD1E-2000-4C5D-B13B-F485200C0D40}">
  <dimension ref="A5:V39"/>
  <sheetViews>
    <sheetView zoomScale="43" zoomScaleNormal="80" workbookViewId="0">
      <selection activeCell="V33" sqref="V33"/>
    </sheetView>
  </sheetViews>
  <sheetFormatPr defaultRowHeight="14.5" x14ac:dyDescent="0.35"/>
  <cols>
    <col min="1" max="1" width="19.81640625" customWidth="1"/>
    <col min="2" max="2" width="22.7265625" customWidth="1"/>
    <col min="3" max="3" width="19.453125" customWidth="1"/>
    <col min="4" max="4" width="14.26953125" customWidth="1"/>
    <col min="5" max="5" width="14" customWidth="1"/>
    <col min="6" max="6" width="15.453125" customWidth="1"/>
    <col min="7" max="7" width="11.7265625" customWidth="1"/>
    <col min="8" max="8" width="11.1796875" customWidth="1"/>
    <col min="9" max="9" width="13.7265625" customWidth="1"/>
    <col min="10" max="10" width="14" customWidth="1"/>
    <col min="13" max="13" width="46.453125" customWidth="1"/>
    <col min="16" max="16" width="6.81640625" customWidth="1"/>
    <col min="19" max="19" width="28.1796875" customWidth="1"/>
    <col min="22" max="22" width="16" customWidth="1"/>
  </cols>
  <sheetData>
    <row r="5" spans="1:22" ht="61.5" customHeight="1" x14ac:dyDescent="0.35">
      <c r="A5" s="63"/>
      <c r="B5" s="63"/>
      <c r="C5" s="60" t="s">
        <v>1</v>
      </c>
      <c r="D5" s="60"/>
      <c r="E5" s="60"/>
      <c r="F5" s="60"/>
      <c r="G5" s="60"/>
      <c r="H5" s="60"/>
      <c r="I5" s="60"/>
      <c r="J5" s="60" t="s">
        <v>2</v>
      </c>
      <c r="K5" s="60"/>
      <c r="L5" s="60"/>
      <c r="M5" s="60"/>
      <c r="N5" s="60" t="s">
        <v>3</v>
      </c>
      <c r="O5" s="60"/>
      <c r="P5" s="60"/>
      <c r="Q5" s="60"/>
      <c r="R5" s="60"/>
      <c r="S5" s="60"/>
      <c r="T5" s="61" t="s">
        <v>4</v>
      </c>
      <c r="U5" s="61"/>
      <c r="V5" s="62"/>
    </row>
    <row r="6" spans="1:22" s="8" customFormat="1" ht="34.5" customHeight="1" x14ac:dyDescent="0.35">
      <c r="A6" s="34" t="s">
        <v>6</v>
      </c>
      <c r="B6" s="34" t="s">
        <v>7</v>
      </c>
      <c r="C6" s="34" t="s">
        <v>8</v>
      </c>
      <c r="D6" s="35" t="s">
        <v>9</v>
      </c>
      <c r="E6" s="34" t="s">
        <v>10</v>
      </c>
      <c r="F6" s="34" t="s">
        <v>11</v>
      </c>
      <c r="G6" s="34" t="s">
        <v>12</v>
      </c>
      <c r="H6" s="34" t="s">
        <v>13</v>
      </c>
      <c r="I6" s="34" t="s">
        <v>14</v>
      </c>
      <c r="J6" s="54" t="s">
        <v>0</v>
      </c>
      <c r="K6" s="54"/>
      <c r="L6" s="54"/>
      <c r="M6" s="54"/>
      <c r="N6" s="54" t="s">
        <v>15</v>
      </c>
      <c r="O6" s="54"/>
      <c r="P6" s="54"/>
      <c r="Q6" s="54" t="s">
        <v>16</v>
      </c>
      <c r="R6" s="54"/>
      <c r="S6" s="54"/>
      <c r="T6" s="54" t="s">
        <v>17</v>
      </c>
      <c r="U6" s="54"/>
      <c r="V6" s="59"/>
    </row>
    <row r="7" spans="1:22" s="8" customFormat="1" ht="34.5" customHeight="1" x14ac:dyDescent="0.35">
      <c r="A7" s="7" t="s">
        <v>18</v>
      </c>
      <c r="B7" s="23">
        <v>45769</v>
      </c>
      <c r="C7" s="7" t="s">
        <v>19</v>
      </c>
      <c r="D7" s="18">
        <v>164.858</v>
      </c>
      <c r="E7" s="18">
        <v>27.722000000000001</v>
      </c>
      <c r="F7" s="18">
        <v>5.9470000000000001</v>
      </c>
      <c r="G7" s="18">
        <v>32.909999999999997</v>
      </c>
      <c r="H7" s="18">
        <v>6.2050000000000001</v>
      </c>
      <c r="I7" s="18">
        <v>80.727599999999995</v>
      </c>
      <c r="J7" s="51"/>
      <c r="K7" s="44"/>
      <c r="L7" s="44"/>
      <c r="M7" s="44"/>
      <c r="N7" s="44"/>
      <c r="O7" s="44"/>
      <c r="P7" s="44"/>
      <c r="Q7" s="52"/>
      <c r="R7" s="52"/>
      <c r="S7" s="52"/>
      <c r="T7" s="44"/>
      <c r="U7" s="44"/>
      <c r="V7" s="45"/>
    </row>
    <row r="8" spans="1:22" s="8" customFormat="1" ht="29.25" customHeight="1" x14ac:dyDescent="0.35">
      <c r="A8" s="7" t="s">
        <v>18</v>
      </c>
      <c r="B8" s="23">
        <v>45769</v>
      </c>
      <c r="C8" s="7" t="s">
        <v>20</v>
      </c>
      <c r="D8" s="18">
        <v>211.726</v>
      </c>
      <c r="E8" s="18">
        <v>27.719000000000001</v>
      </c>
      <c r="F8" s="18">
        <v>7.6379999999999999</v>
      </c>
      <c r="G8" s="18">
        <v>33.253999999999998</v>
      </c>
      <c r="H8" s="18">
        <v>8.0220000000000002</v>
      </c>
      <c r="I8" s="18">
        <v>79.371399999999994</v>
      </c>
      <c r="J8" s="51"/>
      <c r="K8" s="44"/>
      <c r="L8" s="44"/>
      <c r="M8" s="44"/>
      <c r="N8" s="44"/>
      <c r="O8" s="44"/>
      <c r="P8" s="44"/>
      <c r="Q8" s="52"/>
      <c r="R8" s="52"/>
      <c r="S8" s="52"/>
      <c r="T8" s="44"/>
      <c r="U8" s="44"/>
      <c r="V8" s="45"/>
    </row>
    <row r="9" spans="1:22" ht="28.5" customHeight="1" thickBot="1" x14ac:dyDescent="0.4">
      <c r="A9" s="7" t="s">
        <v>18</v>
      </c>
      <c r="B9" s="22">
        <v>45771</v>
      </c>
      <c r="C9" s="22" t="s">
        <v>21</v>
      </c>
      <c r="D9" s="18">
        <v>161.91499999999999</v>
      </c>
      <c r="E9" s="18">
        <v>27.69</v>
      </c>
      <c r="F9" s="18">
        <v>5.8470000000000004</v>
      </c>
      <c r="G9" s="18">
        <v>32.886000000000003</v>
      </c>
      <c r="H9" s="18">
        <v>6.0919999999999996</v>
      </c>
      <c r="I9" s="18">
        <v>80.820300000000003</v>
      </c>
      <c r="J9" s="51"/>
      <c r="K9" s="44"/>
      <c r="L9" s="44"/>
      <c r="M9" s="44"/>
      <c r="N9" s="44"/>
      <c r="O9" s="44"/>
      <c r="P9" s="44"/>
      <c r="Q9" s="52"/>
      <c r="R9" s="52"/>
      <c r="S9" s="52"/>
      <c r="T9" s="44"/>
      <c r="U9" s="44"/>
      <c r="V9" s="45"/>
    </row>
    <row r="10" spans="1:22" ht="26.25" customHeight="1" x14ac:dyDescent="0.35">
      <c r="A10" s="55"/>
      <c r="B10" s="55"/>
      <c r="C10" s="55"/>
      <c r="D10" s="55"/>
      <c r="E10" s="55"/>
      <c r="F10" s="55"/>
      <c r="G10" s="55"/>
      <c r="H10" s="55"/>
      <c r="I10" s="55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</row>
    <row r="11" spans="1:22" ht="45" customHeight="1" thickBot="1" x14ac:dyDescent="0.4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</row>
    <row r="12" spans="1:22" ht="60.75" customHeight="1" x14ac:dyDescent="0.35">
      <c r="A12" s="58"/>
      <c r="B12" s="58"/>
      <c r="C12" s="48" t="s">
        <v>1</v>
      </c>
      <c r="D12" s="48"/>
      <c r="E12" s="48"/>
      <c r="F12" s="48"/>
      <c r="G12" s="48"/>
      <c r="H12" s="48"/>
      <c r="I12" s="48"/>
      <c r="J12" s="49" t="s">
        <v>2</v>
      </c>
      <c r="K12" s="50"/>
      <c r="L12" s="50"/>
      <c r="M12" s="50"/>
      <c r="N12" s="50" t="s">
        <v>3</v>
      </c>
      <c r="O12" s="50"/>
      <c r="P12" s="50"/>
      <c r="Q12" s="50"/>
      <c r="R12" s="50"/>
      <c r="S12" s="50"/>
      <c r="T12" s="50" t="s">
        <v>22</v>
      </c>
      <c r="U12" s="50"/>
      <c r="V12" s="57"/>
    </row>
    <row r="13" spans="1:22" s="8" customFormat="1" ht="33.75" customHeight="1" x14ac:dyDescent="0.35">
      <c r="A13" s="25" t="s">
        <v>6</v>
      </c>
      <c r="B13" s="25" t="s">
        <v>7</v>
      </c>
      <c r="C13" s="25" t="s">
        <v>8</v>
      </c>
      <c r="D13" s="26" t="s">
        <v>9</v>
      </c>
      <c r="E13" s="25" t="s">
        <v>10</v>
      </c>
      <c r="F13" s="25" t="s">
        <v>11</v>
      </c>
      <c r="G13" s="25" t="s">
        <v>12</v>
      </c>
      <c r="H13" s="25" t="s">
        <v>13</v>
      </c>
      <c r="I13" s="25" t="s">
        <v>14</v>
      </c>
      <c r="J13" s="53" t="s">
        <v>0</v>
      </c>
      <c r="K13" s="54"/>
      <c r="L13" s="54"/>
      <c r="M13" s="54"/>
      <c r="N13" s="54" t="s">
        <v>15</v>
      </c>
      <c r="O13" s="54"/>
      <c r="P13" s="54"/>
      <c r="Q13" s="54" t="s">
        <v>16</v>
      </c>
      <c r="R13" s="54"/>
      <c r="S13" s="54"/>
      <c r="T13" s="54" t="s">
        <v>17</v>
      </c>
      <c r="U13" s="54"/>
      <c r="V13" s="59"/>
    </row>
    <row r="14" spans="1:22" s="8" customFormat="1" ht="32.25" customHeight="1" x14ac:dyDescent="0.35">
      <c r="A14" s="7" t="s">
        <v>18</v>
      </c>
      <c r="B14" s="23">
        <v>45932</v>
      </c>
      <c r="C14" s="7" t="s">
        <v>19</v>
      </c>
      <c r="D14" s="17">
        <v>163.34200000000001</v>
      </c>
      <c r="E14" s="17">
        <v>27.384</v>
      </c>
      <c r="F14" s="17">
        <v>5.9649999999999999</v>
      </c>
      <c r="G14" s="17">
        <v>32.716999999999999</v>
      </c>
      <c r="H14" s="17">
        <v>6.2069999999999999</v>
      </c>
      <c r="I14" s="17">
        <v>80.429100000000005</v>
      </c>
      <c r="J14" s="42"/>
      <c r="K14" s="43"/>
      <c r="L14" s="43"/>
      <c r="M14" s="43"/>
      <c r="N14" s="44"/>
      <c r="O14" s="44"/>
      <c r="P14" s="44"/>
      <c r="Q14" s="43"/>
      <c r="R14" s="43"/>
      <c r="S14" s="43"/>
      <c r="T14" s="44"/>
      <c r="U14" s="44"/>
      <c r="V14" s="45"/>
    </row>
    <row r="15" spans="1:22" s="8" customFormat="1" ht="34.5" customHeight="1" x14ac:dyDescent="0.35">
      <c r="A15" s="7" t="s">
        <v>18</v>
      </c>
      <c r="B15" s="23">
        <v>45932</v>
      </c>
      <c r="C15" s="7" t="s">
        <v>20</v>
      </c>
      <c r="D15" s="17">
        <v>210.011</v>
      </c>
      <c r="E15" s="17">
        <v>27.369</v>
      </c>
      <c r="F15" s="17">
        <v>7.673</v>
      </c>
      <c r="G15" s="17">
        <v>33.073999999999998</v>
      </c>
      <c r="H15" s="17">
        <v>8.048</v>
      </c>
      <c r="I15" s="17">
        <v>78.899500000000003</v>
      </c>
      <c r="J15" s="42"/>
      <c r="K15" s="43"/>
      <c r="L15" s="43"/>
      <c r="M15" s="43"/>
      <c r="N15" s="44"/>
      <c r="O15" s="44"/>
      <c r="P15" s="44"/>
      <c r="Q15" s="43"/>
      <c r="R15" s="43"/>
      <c r="S15" s="43"/>
      <c r="T15" s="46"/>
      <c r="U15" s="46"/>
      <c r="V15" s="47"/>
    </row>
    <row r="16" spans="1:22" ht="41.25" customHeight="1" x14ac:dyDescent="0.35">
      <c r="A16" s="7" t="s">
        <v>18</v>
      </c>
      <c r="B16" s="23">
        <v>45932</v>
      </c>
      <c r="C16" s="22" t="s">
        <v>21</v>
      </c>
      <c r="D16" s="17">
        <v>160.58199999999999</v>
      </c>
      <c r="E16" s="17">
        <v>27.372</v>
      </c>
      <c r="F16" s="17">
        <v>5.867</v>
      </c>
      <c r="G16" s="17">
        <v>32.697000000000003</v>
      </c>
      <c r="H16" s="17">
        <v>6.109</v>
      </c>
      <c r="I16" s="17">
        <v>80.397099999999995</v>
      </c>
      <c r="J16" s="42"/>
      <c r="K16" s="43"/>
      <c r="L16" s="43"/>
      <c r="M16" s="43"/>
      <c r="N16" s="44"/>
      <c r="O16" s="44"/>
      <c r="P16" s="44"/>
      <c r="Q16" s="43"/>
      <c r="R16" s="43"/>
      <c r="S16" s="43"/>
      <c r="T16" s="44"/>
      <c r="U16" s="44"/>
      <c r="V16" s="45"/>
    </row>
    <row r="17" spans="1:22" x14ac:dyDescent="0.35">
      <c r="A17" s="1"/>
      <c r="B17" s="1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1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20" spans="1:22" ht="58.5" customHeight="1" x14ac:dyDescent="0.35">
      <c r="C20" s="39" t="s">
        <v>63</v>
      </c>
      <c r="D20" s="40"/>
      <c r="E20" s="40"/>
      <c r="F20" s="40"/>
      <c r="G20" s="40"/>
      <c r="H20" s="40"/>
      <c r="I20" s="40"/>
      <c r="J20" s="41"/>
    </row>
    <row r="21" spans="1:22" ht="38.25" customHeight="1" x14ac:dyDescent="0.35">
      <c r="C21" s="24" t="s">
        <v>8</v>
      </c>
      <c r="D21" s="26" t="s">
        <v>9</v>
      </c>
      <c r="E21" s="25" t="s">
        <v>10</v>
      </c>
      <c r="F21" s="25" t="s">
        <v>11</v>
      </c>
      <c r="G21" s="25" t="s">
        <v>12</v>
      </c>
      <c r="H21" s="25" t="s">
        <v>13</v>
      </c>
      <c r="I21" s="26" t="s">
        <v>23</v>
      </c>
      <c r="J21" s="28" t="s">
        <v>0</v>
      </c>
    </row>
    <row r="22" spans="1:22" x14ac:dyDescent="0.35">
      <c r="C22" s="29" t="str">
        <f>C7</f>
        <v>FuE 1016</v>
      </c>
      <c r="D22" s="32">
        <f t="shared" ref="D22:I24" si="0">(D14-D7)/D7</f>
        <v>-9.1957927428453039E-3</v>
      </c>
      <c r="E22" s="32">
        <f t="shared" si="0"/>
        <v>-1.2192482504869814E-2</v>
      </c>
      <c r="F22" s="27">
        <f t="shared" si="0"/>
        <v>3.0267361694971909E-3</v>
      </c>
      <c r="G22" s="32">
        <f t="shared" si="0"/>
        <v>-5.8644788817987801E-3</v>
      </c>
      <c r="H22" s="27">
        <f t="shared" si="0"/>
        <v>3.2232070910552453E-4</v>
      </c>
      <c r="I22" s="32">
        <f t="shared" si="0"/>
        <v>-3.6976201447830731E-3</v>
      </c>
      <c r="J22" s="33" t="s">
        <v>24</v>
      </c>
      <c r="K22" s="3"/>
      <c r="L22" s="3"/>
      <c r="M22" s="3"/>
    </row>
    <row r="23" spans="1:22" x14ac:dyDescent="0.35">
      <c r="C23" s="29" t="str">
        <f>C8</f>
        <v>FuE 1008</v>
      </c>
      <c r="D23" s="32">
        <f t="shared" si="0"/>
        <v>-8.1000916278586629E-3</v>
      </c>
      <c r="E23" s="32">
        <f t="shared" si="0"/>
        <v>-1.2626718135574927E-2</v>
      </c>
      <c r="F23" s="27">
        <f t="shared" si="0"/>
        <v>4.5823514008903037E-3</v>
      </c>
      <c r="G23" s="32">
        <f t="shared" si="0"/>
        <v>-5.4128826607325355E-3</v>
      </c>
      <c r="H23" s="27">
        <f t="shared" si="0"/>
        <v>3.2410870107204936E-3</v>
      </c>
      <c r="I23" s="32">
        <f t="shared" si="0"/>
        <v>-5.9454665030475827E-3</v>
      </c>
      <c r="J23" s="33" t="s">
        <v>24</v>
      </c>
      <c r="K23" s="3"/>
      <c r="L23" s="3"/>
      <c r="M23" s="3"/>
    </row>
    <row r="24" spans="1:22" x14ac:dyDescent="0.35">
      <c r="C24" s="29" t="str">
        <f>C9</f>
        <v>FuE 1017</v>
      </c>
      <c r="D24" s="32">
        <f t="shared" si="0"/>
        <v>-8.2327146959824508E-3</v>
      </c>
      <c r="E24" s="32">
        <f t="shared" si="0"/>
        <v>-1.1484290357529844E-2</v>
      </c>
      <c r="F24" s="27">
        <f t="shared" si="0"/>
        <v>3.4205575508807202E-3</v>
      </c>
      <c r="G24" s="32">
        <f t="shared" si="0"/>
        <v>-5.7471264367816109E-3</v>
      </c>
      <c r="H24" s="27">
        <f t="shared" si="0"/>
        <v>2.7905449770190987E-3</v>
      </c>
      <c r="I24" s="32">
        <f t="shared" si="0"/>
        <v>-5.2363082047456946E-3</v>
      </c>
      <c r="J24" s="33" t="s">
        <v>24</v>
      </c>
      <c r="K24" s="3"/>
      <c r="L24" s="3"/>
      <c r="M24" s="3"/>
    </row>
    <row r="27" spans="1:22" ht="59.25" customHeight="1" x14ac:dyDescent="0.35"/>
    <row r="33" ht="54.75" customHeight="1" x14ac:dyDescent="0.35"/>
    <row r="38" ht="14.5" customHeight="1" x14ac:dyDescent="0.35"/>
    <row r="39" ht="14.5" customHeight="1" x14ac:dyDescent="0.35"/>
  </sheetData>
  <mergeCells count="44">
    <mergeCell ref="J6:M6"/>
    <mergeCell ref="N6:P6"/>
    <mergeCell ref="Q6:S6"/>
    <mergeCell ref="T6:V6"/>
    <mergeCell ref="Q8:S8"/>
    <mergeCell ref="T7:V7"/>
    <mergeCell ref="T8:V8"/>
    <mergeCell ref="J7:M7"/>
    <mergeCell ref="J8:M8"/>
    <mergeCell ref="N7:P7"/>
    <mergeCell ref="N8:P8"/>
    <mergeCell ref="Q7:S7"/>
    <mergeCell ref="C5:I5"/>
    <mergeCell ref="J5:M5"/>
    <mergeCell ref="N5:S5"/>
    <mergeCell ref="T5:V5"/>
    <mergeCell ref="A5:B5"/>
    <mergeCell ref="J9:M9"/>
    <mergeCell ref="N9:P9"/>
    <mergeCell ref="Q9:S9"/>
    <mergeCell ref="T9:V9"/>
    <mergeCell ref="J13:M13"/>
    <mergeCell ref="N13:P13"/>
    <mergeCell ref="A10:V11"/>
    <mergeCell ref="T12:V12"/>
    <mergeCell ref="A12:B12"/>
    <mergeCell ref="Q13:S13"/>
    <mergeCell ref="T13:V13"/>
    <mergeCell ref="T14:V14"/>
    <mergeCell ref="T15:V15"/>
    <mergeCell ref="C12:I12"/>
    <mergeCell ref="J12:M12"/>
    <mergeCell ref="N12:S12"/>
    <mergeCell ref="J14:M14"/>
    <mergeCell ref="J15:M15"/>
    <mergeCell ref="N14:P14"/>
    <mergeCell ref="N15:P15"/>
    <mergeCell ref="Q14:S14"/>
    <mergeCell ref="Q15:S15"/>
    <mergeCell ref="C20:J20"/>
    <mergeCell ref="J16:M16"/>
    <mergeCell ref="N16:P16"/>
    <mergeCell ref="Q16:S16"/>
    <mergeCell ref="T16:V16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0F03-8CAB-44F9-BE6D-FCDB1F5505AF}">
  <dimension ref="A3:P7"/>
  <sheetViews>
    <sheetView zoomScale="30" zoomScaleNormal="30" workbookViewId="0">
      <selection activeCell="F12" sqref="F12"/>
    </sheetView>
  </sheetViews>
  <sheetFormatPr defaultRowHeight="14.5" x14ac:dyDescent="0.35"/>
  <cols>
    <col min="1" max="1" width="41.7265625" customWidth="1"/>
    <col min="2" max="2" width="17" customWidth="1"/>
    <col min="3" max="3" width="16.54296875" customWidth="1"/>
    <col min="4" max="4" width="113.453125" customWidth="1"/>
    <col min="5" max="5" width="17.453125" customWidth="1"/>
    <col min="6" max="6" width="57" customWidth="1"/>
    <col min="7" max="7" width="38.1796875" customWidth="1"/>
    <col min="8" max="8" width="92.81640625" customWidth="1"/>
    <col min="9" max="9" width="86.1796875" customWidth="1"/>
    <col min="10" max="10" width="88.81640625" customWidth="1"/>
    <col min="12" max="12" width="111.54296875" customWidth="1"/>
    <col min="14" max="14" width="89.81640625" customWidth="1"/>
    <col min="15" max="16" width="94.81640625" customWidth="1"/>
  </cols>
  <sheetData>
    <row r="3" spans="1:16" ht="15" thickBot="1" x14ac:dyDescent="0.4">
      <c r="L3" t="s">
        <v>25</v>
      </c>
    </row>
    <row r="4" spans="1:16" s="6" customFormat="1" ht="50.25" customHeight="1" thickBot="1" x14ac:dyDescent="0.4">
      <c r="A4" s="16" t="s">
        <v>5</v>
      </c>
      <c r="B4" s="10" t="s">
        <v>6</v>
      </c>
      <c r="C4" s="9" t="s">
        <v>8</v>
      </c>
      <c r="D4" s="10" t="s">
        <v>26</v>
      </c>
      <c r="E4" s="17" t="s">
        <v>27</v>
      </c>
      <c r="F4" s="69" t="s">
        <v>28</v>
      </c>
      <c r="G4" s="67"/>
      <c r="H4" s="67"/>
      <c r="I4" s="67"/>
      <c r="J4" s="67"/>
      <c r="K4" s="11"/>
      <c r="L4" s="12" t="s">
        <v>29</v>
      </c>
      <c r="M4" s="67" t="s">
        <v>30</v>
      </c>
      <c r="N4" s="67"/>
      <c r="O4" s="14" t="s">
        <v>31</v>
      </c>
      <c r="P4" s="31" t="s">
        <v>33</v>
      </c>
    </row>
    <row r="5" spans="1:16" ht="408" customHeight="1" thickBot="1" x14ac:dyDescent="0.4">
      <c r="A5" s="18" t="s">
        <v>32</v>
      </c>
      <c r="B5" s="15" t="s">
        <v>18</v>
      </c>
      <c r="C5" s="7" t="s">
        <v>19</v>
      </c>
      <c r="D5" s="19" t="e" vm="1">
        <v>#VALUE!</v>
      </c>
      <c r="E5" s="7" t="s">
        <v>19</v>
      </c>
      <c r="F5" s="68"/>
      <c r="G5" s="68"/>
      <c r="H5" s="21"/>
      <c r="I5" s="21"/>
      <c r="J5" s="21"/>
      <c r="K5" s="4"/>
      <c r="L5" s="5" t="e" vm="2">
        <v>#VALUE!</v>
      </c>
      <c r="M5" s="65"/>
      <c r="N5" s="66"/>
      <c r="O5" s="30"/>
      <c r="P5" s="13"/>
    </row>
    <row r="6" spans="1:16" ht="381" customHeight="1" thickBot="1" x14ac:dyDescent="0.4">
      <c r="A6" s="36" t="s">
        <v>32</v>
      </c>
      <c r="B6" s="15" t="s">
        <v>18</v>
      </c>
      <c r="C6" s="7" t="s">
        <v>20</v>
      </c>
      <c r="D6" s="19" t="e" vm="3">
        <v>#VALUE!</v>
      </c>
      <c r="E6" s="7" t="s">
        <v>20</v>
      </c>
      <c r="F6" s="64"/>
      <c r="G6" s="64"/>
      <c r="H6" s="13"/>
      <c r="I6" s="13"/>
      <c r="J6" s="13"/>
      <c r="L6" s="5" t="e" vm="4">
        <v>#VALUE!</v>
      </c>
      <c r="M6" s="65"/>
      <c r="N6" s="66"/>
      <c r="O6" s="30"/>
      <c r="P6" s="13"/>
    </row>
    <row r="7" spans="1:16" ht="409.6" customHeight="1" thickBot="1" x14ac:dyDescent="0.4">
      <c r="A7" s="36" t="s">
        <v>32</v>
      </c>
      <c r="B7" s="15" t="s">
        <v>18</v>
      </c>
      <c r="C7" s="22" t="s">
        <v>21</v>
      </c>
      <c r="D7" s="20" t="e" vm="5">
        <v>#VALUE!</v>
      </c>
      <c r="E7" s="22" t="s">
        <v>21</v>
      </c>
      <c r="F7" s="64"/>
      <c r="G7" s="64"/>
      <c r="H7" s="13"/>
      <c r="I7" s="13"/>
      <c r="J7" s="13"/>
      <c r="L7" s="5" t="e" vm="6">
        <v>#VALUE!</v>
      </c>
      <c r="M7" s="65"/>
      <c r="N7" s="66"/>
      <c r="O7" s="13"/>
      <c r="P7" s="13"/>
    </row>
  </sheetData>
  <mergeCells count="8">
    <mergeCell ref="F6:G6"/>
    <mergeCell ref="M6:N6"/>
    <mergeCell ref="F7:G7"/>
    <mergeCell ref="M7:N7"/>
    <mergeCell ref="M4:N4"/>
    <mergeCell ref="F5:G5"/>
    <mergeCell ref="M5:N5"/>
    <mergeCell ref="F4:J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a7c6fae-2b5b-41b9-9828-9db0b8af1416">1. Visum</Status>
    <Info xmlns="9a7c6fae-2b5b-41b9-9828-9db0b8af1416" xsi:nil="true"/>
    <Language_x002f_Sprache xmlns="9a7c6fae-2b5b-41b9-9828-9db0b8af1416" xsi:nil="true"/>
    <lcf76f155ced4ddcb4097134ff3c332f xmlns="9a7c6fae-2b5b-41b9-9828-9db0b8af1416">
      <Terms xmlns="http://schemas.microsoft.com/office/infopath/2007/PartnerControls"/>
    </lcf76f155ced4ddcb4097134ff3c332f>
    <Sprache xmlns="9a7c6fae-2b5b-41b9-9828-9db0b8af1416" xsi:nil="true"/>
    <Link xmlns="9a7c6fae-2b5b-41b9-9828-9db0b8af1416">
      <Url xsi:nil="true"/>
      <Description xsi:nil="true"/>
    </Link>
    <VerpackungseinheitenUmsatzmengenrabatt xmlns="9a7c6fae-2b5b-41b9-9828-9db0b8af1416" xsi:nil="true"/>
    <_Flow_SignoffStatus xmlns="9a7c6fae-2b5b-41b9-9828-9db0b8af1416" xsi:nil="true"/>
    <TaxCatchAll xmlns="36a3931b-a6eb-4373-934c-9d5d5b81561d" xsi:nil="true"/>
    <Comment xmlns="9a7c6fae-2b5b-41b9-9828-9db0b8af1416" xsi:nil="true"/>
    <Version_x002f_Version xmlns="9a7c6fae-2b5b-41b9-9828-9db0b8af1416" xsi:nil="true"/>
    <DateundZeit xmlns="9a7c6fae-2b5b-41b9-9828-9db0b8af1416" xsi:nil="true"/>
    <TaxKeywordTaxHTField xmlns="36a3931b-a6eb-4373-934c-9d5d5b81561d">
      <Terms xmlns="http://schemas.microsoft.com/office/infopath/2007/PartnerControls"/>
    </TaxKeywordTaxHTField>
    <StartWF xmlns="9a7c6fae-2b5b-41b9-9828-9db0b8af1416" xsi:nil="true"/>
    <Title_x002f_Titel xmlns="9a7c6fae-2b5b-41b9-9828-9db0b8af1416" xsi:nil="true"/>
    <System_x002f_System xmlns="9a7c6fae-2b5b-41b9-9828-9db0b8af1416" xsi:nil="true"/>
    <id9aab7848ae430b9b0939af27f5a653 xmlns="9a7c6fae-2b5b-41b9-9828-9db0b8af1416">
      <Terms xmlns="http://schemas.microsoft.com/office/infopath/2007/PartnerControls"/>
    </id9aab7848ae430b9b0939af27f5a653>
    <Country_x002f_Land xmlns="9a7c6fae-2b5b-41b9-9828-9db0b8af1416" xsi:nil="true"/>
    <NameMA xmlns="9a7c6fae-2b5b-41b9-9828-9db0b8af1416">
      <UserInfo>
        <DisplayName/>
        <AccountId xsi:nil="true"/>
        <AccountType/>
      </UserInfo>
    </NameMA>
    <Projektablauf xmlns="9a7c6fae-2b5b-41b9-9828-9db0b8af1416" xsi:nil="true"/>
    <Beschreibung xmlns="9a7c6fae-2b5b-41b9-9828-9db0b8af1416" xsi:nil="true"/>
    <Bemerkung xmlns="9a7c6fae-2b5b-41b9-9828-9db0b8af14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6071634F6B5F41AE51DB73FCDC0D4C" ma:contentTypeVersion="58" ma:contentTypeDescription="Ein neues Dokument erstellen." ma:contentTypeScope="" ma:versionID="34e24a379fd7f283ec56de84f82a40d3">
  <xsd:schema xmlns:xsd="http://www.w3.org/2001/XMLSchema" xmlns:xs="http://www.w3.org/2001/XMLSchema" xmlns:p="http://schemas.microsoft.com/office/2006/metadata/properties" xmlns:ns2="9a7c6fae-2b5b-41b9-9828-9db0b8af1416" xmlns:ns3="36a3931b-a6eb-4373-934c-9d5d5b81561d" targetNamespace="http://schemas.microsoft.com/office/2006/metadata/properties" ma:root="true" ma:fieldsID="72fb1122b585d800f37dfa8bc97636f7" ns2:_="" ns3:_="">
    <xsd:import namespace="9a7c6fae-2b5b-41b9-9828-9db0b8af1416"/>
    <xsd:import namespace="36a3931b-a6eb-4373-934c-9d5d5b81561d"/>
    <xsd:element name="properties">
      <xsd:complexType>
        <xsd:sequence>
          <xsd:element name="documentManagement">
            <xsd:complexType>
              <xsd:all>
                <xsd:element ref="ns2:Title_x002f_Titel" minOccurs="0"/>
                <xsd:element ref="ns2:Info" minOccurs="0"/>
                <xsd:element ref="ns2:Language_x002f_Sprache" minOccurs="0"/>
                <xsd:element ref="ns2:Country_x002f_Land" minOccurs="0"/>
                <xsd:element ref="ns2:Link" minOccurs="0"/>
                <xsd:element ref="ns2:Version_x002f_Version" minOccurs="0"/>
                <xsd:element ref="ns2:System_x002f_System" minOccurs="0"/>
                <xsd:element ref="ns2:Status" minOccurs="0"/>
                <xsd:element ref="ns2:VerpackungseinheitenUmsatzmengenrabatt" minOccurs="0"/>
                <xsd:element ref="ns2:DateundZeit" minOccurs="0"/>
                <xsd:element ref="ns2:Comment" minOccurs="0"/>
                <xsd:element ref="ns2:_Flow_SignoffStatus" minOccurs="0"/>
                <xsd:element ref="ns2:NameMA" minOccurs="0"/>
                <xsd:element ref="ns2:MediaServiceGenerationTime" minOccurs="0"/>
                <xsd:element ref="ns2:MediaServiceEventHashCode" minOccurs="0"/>
                <xsd:element ref="ns3:TaxKeywordTaxHTField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Metadata" minOccurs="0"/>
                <xsd:element ref="ns2:MediaLengthInSeconds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AutoTags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3:SharedWithUsers" minOccurs="0"/>
                <xsd:element ref="ns3:SharedWithDetails" minOccurs="0"/>
                <xsd:element ref="ns2:StartWF" minOccurs="0"/>
                <xsd:element ref="ns2:Sprache" minOccurs="0"/>
                <xsd:element ref="ns2:id9aab7848ae430b9b0939af27f5a653" minOccurs="0"/>
                <xsd:element ref="ns2:MediaServiceBillingMetadata" minOccurs="0"/>
                <xsd:element ref="ns2:Bemerkung" minOccurs="0"/>
                <xsd:element ref="ns2:Projektablauf" minOccurs="0"/>
                <xsd:element ref="ns2:Beschreibu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c6fae-2b5b-41b9-9828-9db0b8af1416" elementFormDefault="qualified">
    <xsd:import namespace="http://schemas.microsoft.com/office/2006/documentManagement/types"/>
    <xsd:import namespace="http://schemas.microsoft.com/office/infopath/2007/PartnerControls"/>
    <xsd:element name="Title_x002f_Titel" ma:index="1" nillable="true" ma:displayName="Title / Titel" ma:description="Title in language / Titel in der jeweiligen Sprache" ma:format="Dropdown" ma:internalName="Title_x002f_Titel" ma:readOnly="false">
      <xsd:simpleType>
        <xsd:restriction base="dms:Text">
          <xsd:maxLength value="255"/>
        </xsd:restriction>
      </xsd:simpleType>
    </xsd:element>
    <xsd:element name="Info" ma:index="2" nillable="true" ma:displayName="Publication / Bereitstellung" ma:description="Digital vs. Printed version / Digital vs. Druckversion" ma:format="Dropdown" ma:internalName="Info" ma:readOnly="false">
      <xsd:simpleType>
        <xsd:restriction base="dms:Choice">
          <xsd:enumeration value="Only PDF available (Digital)"/>
          <xsd:enumeration value="Printed version available / Druckversion verfügbar"/>
          <xsd:enumeration value="Auswahl 3"/>
        </xsd:restriction>
      </xsd:simpleType>
    </xsd:element>
    <xsd:element name="Language_x002f_Sprache" ma:index="4" nillable="true" ma:displayName="Language/Sprache" ma:format="Dropdown" ma:internalName="Language_x002f_Sprache" ma:readOnly="false">
      <xsd:simpleType>
        <xsd:restriction base="dms:Choice">
          <xsd:enumeration value="Deutsch"/>
          <xsd:enumeration value="Französisch"/>
          <xsd:enumeration value="Italienisch"/>
          <xsd:enumeration value="Englisch"/>
        </xsd:restriction>
      </xsd:simpleType>
    </xsd:element>
    <xsd:element name="Country_x002f_Land" ma:index="5" nillable="true" ma:displayName="Country/Land" ma:description="Content for which country / Inhalt für welches Land&#10;&quot;International&quot; means for countries where we do not see specific constraints / &quot;International&quot; verwenden wir für Länder, in denen wir keine spezifischen Anforderungen haben bzw. kennen" ma:format="Dropdown" ma:internalName="Country_x002f_Land" ma:readOnly="false">
      <xsd:simpleType>
        <xsd:restriction base="dms:Choice">
          <xsd:enumeration value="Schweiz"/>
          <xsd:enumeration value="Deutschland"/>
          <xsd:enumeration value="Österreich"/>
          <xsd:enumeration value="International"/>
        </xsd:restriction>
      </xsd:simpleType>
    </xsd:element>
    <xsd:element name="Link" ma:index="6" nillable="true" ma:displayName="Link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Version_x002f_Version" ma:index="7" nillable="true" ma:displayName="Version / Version" ma:description="Content updated in month-year / Inhalt aktualisiert in Monat-Jahr" ma:format="DateTime" ma:internalName="Version_x002f_Version" ma:readOnly="false">
      <xsd:simpleType>
        <xsd:restriction base="dms:DateTime"/>
      </xsd:simpleType>
    </xsd:element>
    <xsd:element name="System_x002f_System" ma:index="8" nillable="true" ma:displayName="System / System" ma:format="Dropdown" ma:internalName="System_x002f_System" ma:readOnly="false">
      <xsd:simpleType>
        <xsd:restriction base="dms:Choice">
          <xsd:enumeration value="Solardach"/>
          <xsd:enumeration value="Solarfassade"/>
          <xsd:enumeration value="Solargeländer"/>
          <xsd:enumeration value="Solar-Overhead"/>
        </xsd:restriction>
      </xsd:simpleType>
    </xsd:element>
    <xsd:element name="Status" ma:index="9" nillable="true" ma:displayName="Status" ma:default="1. Visum" ma:format="Dropdown" ma:internalName="Status" ma:readOnly="false">
      <xsd:simpleType>
        <xsd:restriction base="dms:Choice">
          <xsd:enumeration value="1. Visum"/>
          <xsd:enumeration value="zu Verbuchen"/>
          <xsd:enumeration value="2. Visum"/>
          <xsd:enumeration value="Buchung ändern"/>
          <xsd:enumeration value="zu Bezahlen"/>
          <xsd:enumeration value="Bezahlt"/>
          <xsd:enumeration value="Mahnung"/>
          <xsd:enumeration value="AZE Kontrolle Eingangsrechnung"/>
          <xsd:enumeration value="AZE Kontrolle Einkaufsrechnung"/>
        </xsd:restriction>
      </xsd:simpleType>
    </xsd:element>
    <xsd:element name="VerpackungseinheitenUmsatzmengenrabatt" ma:index="10" nillable="true" ma:displayName="Verpackungseinheiten Umsatzmengenrabatt" ma:format="Dropdown" ma:hidden="true" ma:internalName="VerpackungseinheitenUmsatzmengenrabatt" ma:readOnly="false">
      <xsd:simpleType>
        <xsd:restriction base="dms:Text">
          <xsd:maxLength value="255"/>
        </xsd:restriction>
      </xsd:simpleType>
    </xsd:element>
    <xsd:element name="DateundZeit" ma:index="11" nillable="true" ma:displayName="Date und Zeit" ma:format="DateOnly" ma:hidden="true" ma:indexed="true" ma:internalName="DateundZeit" ma:readOnly="false">
      <xsd:simpleType>
        <xsd:restriction base="dms:DateTime"/>
      </xsd:simpleType>
    </xsd:element>
    <xsd:element name="Comment" ma:index="12" nillable="true" ma:displayName="Comment" ma:description="After calculation: 32.33 [Euro/m^2]" ma:format="Dropdown" ma:hidden="true" ma:internalName="Comment" ma:readOnly="false">
      <xsd:simpleType>
        <xsd:restriction base="dms:Note"/>
      </xsd:simpleType>
    </xsd:element>
    <xsd:element name="_Flow_SignoffStatus" ma:index="14" nillable="true" ma:displayName="Status Unterschrift" ma:hidden="true" ma:internalName="Status_x0020_Unterschrift" ma:readOnly="false">
      <xsd:simpleType>
        <xsd:restriction base="dms:Text"/>
      </xsd:simpleType>
    </xsd:element>
    <xsd:element name="NameMA" ma:index="15" nillable="true" ma:displayName="Name MA" ma:format="Dropdown" ma:hidden="true" ma:list="UserInfo" ma:SharePointGroup="0" ma:internalName="NameMA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hidden="true" ma:internalName="MediaServiceKeyPoint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LengthInSeconds" ma:index="29" nillable="true" ma:displayName="Length (seconds)" ma:hidden="true" ma:internalName="MediaLengthInSeconds" ma:readOnly="true">
      <xsd:simpleType>
        <xsd:restriction base="dms:Unknown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Bildmarkierungen" ma:readOnly="false" ma:fieldId="{5cf76f15-5ced-4ddc-b409-7134ff3c332f}" ma:taxonomyMulti="true" ma:sspId="adc8986e-4ef4-4b73-a19a-f77c983856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AutoTags" ma:index="34" nillable="true" ma:displayName="Tags" ma:hidden="true" ma:internalName="MediaServiceAutoTags" ma:readOnly="true">
      <xsd:simpleType>
        <xsd:restriction base="dms:Text"/>
      </xsd:simpleType>
    </xsd:element>
    <xsd:element name="MediaServiceOCR" ma:index="35" nillable="true" ma:displayName="Extracted Text" ma:hidden="true" ma:internalName="MediaServiceOCR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7" nillable="true" ma:displayName="Location" ma:hidden="true" ma:internalName="MediaServiceLocation" ma:readOnly="true">
      <xsd:simpleType>
        <xsd:restriction base="dms:Text"/>
      </xsd:simpleType>
    </xsd:element>
    <xsd:element name="StartWF" ma:index="40" nillable="true" ma:displayName="StartWF" ma:format="Dropdown" ma:hidden="true" ma:internalName="StartWF" ma:readOnly="false">
      <xsd:simpleType>
        <xsd:restriction base="dms:Text">
          <xsd:maxLength value="255"/>
        </xsd:restriction>
      </xsd:simpleType>
    </xsd:element>
    <xsd:element name="Sprache" ma:index="42" nillable="true" ma:displayName="Sprache" ma:format="Dropdown" ma:internalName="Sprache">
      <xsd:simpleType>
        <xsd:restriction base="dms:Choice">
          <xsd:enumeration value="Deutsch"/>
          <xsd:enumeration value="Italienisch"/>
          <xsd:enumeration value="Französisch"/>
        </xsd:restriction>
      </xsd:simpleType>
    </xsd:element>
    <xsd:element name="id9aab7848ae430b9b0939af27f5a653" ma:index="44" nillable="true" ma:taxonomy="true" ma:internalName="id9aab7848ae430b9b0939af27f5a653" ma:taxonomyFieldName="Archiv" ma:displayName="Archiv" ma:default="" ma:fieldId="{2d9aab78-48ae-430b-9b09-39af27f5a653}" ma:sspId="adc8986e-4ef4-4b73-a19a-f77c98385637" ma:termSetId="229c7b4d-3da3-4bdf-849c-de9d1fa66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  <xsd:element name="Bemerkung" ma:index="46" nillable="true" ma:displayName="Bemerkung" ma:description="Hier können Details zum Ordnerinhalt beschrieben werden." ma:format="Dropdown" ma:internalName="Bemerkung">
      <xsd:simpleType>
        <xsd:restriction base="dms:Text">
          <xsd:maxLength value="255"/>
        </xsd:restriction>
      </xsd:simpleType>
    </xsd:element>
    <xsd:element name="Projektablauf" ma:index="47" nillable="true" ma:displayName="Projektablauf" ma:format="Dropdown" ma:internalName="Projektablauf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Verkauf"/>
                    <xsd:enumeration value="Planung"/>
                    <xsd:enumeration value="Lieferung"/>
                    <xsd:enumeration value="Installation"/>
                    <xsd:enumeration value="Unterhalt"/>
                  </xsd:restriction>
                </xsd:simpleType>
              </xsd:element>
            </xsd:sequence>
          </xsd:extension>
        </xsd:complexContent>
      </xsd:complexType>
    </xsd:element>
    <xsd:element name="Beschreibung" ma:index="48" nillable="true" ma:displayName="Beschreibung" ma:format="Dropdown" ma:internalName="Beschreibu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3931b-a6eb-4373-934c-9d5d5b81561d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20" nillable="true" ma:taxonomy="true" ma:internalName="TaxKeywordTaxHTField" ma:taxonomyFieldName="TaxKeyword" ma:displayName="Unternehmensstichwörter" ma:readOnly="false" ma:fieldId="{23f27201-bee3-471e-b2e7-b64fd8b7ca38}" ma:taxonomyMulti="true" ma:sspId="adc8986e-4ef4-4b73-a19a-f77c98385637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hidden="true" ma:list="{090f0abf-ef7e-4cb7-919e-b26b6eca7ad3}" ma:internalName="TaxCatchAll" ma:readOnly="false" ma:showField="CatchAllData" ma:web="36a3931b-a6eb-4373-934c-9d5d5b8156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8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9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CA1B26-DF64-445F-BA64-EB4D01C720DA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36a3931b-a6eb-4373-934c-9d5d5b81561d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a7c6fae-2b5b-41b9-9828-9db0b8af1416"/>
  </ds:schemaRefs>
</ds:datastoreItem>
</file>

<file path=customXml/itemProps2.xml><?xml version="1.0" encoding="utf-8"?>
<ds:datastoreItem xmlns:ds="http://schemas.openxmlformats.org/officeDocument/2006/customXml" ds:itemID="{683801E6-0971-4881-B1DC-83DC87505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c6fae-2b5b-41b9-9828-9db0b8af1416"/>
    <ds:schemaRef ds:uri="36a3931b-a6eb-4373-934c-9d5d5b815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AA280B-9240-4E47-A5D8-35ACE25EC27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e0c226-0da4-4f28-b10d-fe323a0f1eba}" enabled="0" method="" siteId="{f5e0c226-0da4-4f28-b10d-fe323a0f1eb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Data Results DH1000</vt:lpstr>
      <vt:lpstr>EL and Visual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Veuthey Jérémie</dc:creator>
  <cp:keywords/>
  <dc:description/>
  <cp:lastModifiedBy>Veuthey Jérémie</cp:lastModifiedBy>
  <cp:revision/>
  <dcterms:created xsi:type="dcterms:W3CDTF">2024-09-10T08:58:33Z</dcterms:created>
  <dcterms:modified xsi:type="dcterms:W3CDTF">2026-07-28T11:51:11Z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0x0101000C6071634F6B5F41AE51DB73FCDC0D4C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Archiv">
    <vt:lpwstr/>
  </property>
</Properties>
</file>